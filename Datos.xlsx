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nitosfrutas-my.sharepoint.com/personal/bescobedo_chanitos_com/Documents/WorkSpace/preenfrio/"/>
    </mc:Choice>
  </mc:AlternateContent>
  <xr:revisionPtr revIDLastSave="265" documentId="13_ncr:1_{F0A36C04-E6E5-4B51-9906-23526A19135B}" xr6:coauthVersionLast="47" xr6:coauthVersionMax="47" xr10:uidLastSave="{3441DBD5-1E80-41A3-B380-0A637444FF1A}"/>
  <bookViews>
    <workbookView xWindow="-28920" yWindow="-15" windowWidth="29040" windowHeight="15720" activeTab="4" xr2:uid="{870F0A8F-B5CF-4FD7-9FD6-C646EB212759}"/>
  </bookViews>
  <sheets>
    <sheet name="PREENFRIO" sheetId="1" r:id="rId1"/>
    <sheet name="CLIENTES-CEDIS" sheetId="2" r:id="rId2"/>
    <sheet name="RANGOS TEMPERATURA" sheetId="5" r:id="rId3"/>
    <sheet name="FINCAS" sheetId="3" r:id="rId4"/>
    <sheet name="SKU" sheetId="4" r:id="rId5"/>
    <sheet name="PRODUCTORES" sheetId="6" r:id="rId6"/>
    <sheet name="Hoja2" sheetId="7" r:id="rId7"/>
  </sheets>
  <definedNames>
    <definedName name="_xlnm._FilterDatabase" localSheetId="1" hidden="1">'CLIENTES-CEDIS'!$A$1:$I$42</definedName>
    <definedName name="_xlnm._FilterDatabase" localSheetId="3" hidden="1">FINCAS!$A$1:$O$284</definedName>
    <definedName name="_xlnm._FilterDatabase" localSheetId="6" hidden="1">Hoja2!$A$1:$F$86</definedName>
    <definedName name="_xlnm._FilterDatabase" localSheetId="5" hidden="1">PRODUCTORES!$A$1:$C$51</definedName>
    <definedName name="_xlnm._FilterDatabase" localSheetId="2" hidden="1">'RANGOS TEMPERATURA'!$A$1:$C$1</definedName>
    <definedName name="_xlnm._FilterDatabase" localSheetId="4" hidden="1">SKU!$A$1:$B$39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L4" i="4" l="1"/>
  <c r="L5" i="4" s="1"/>
  <c r="L6" i="4" s="1"/>
  <c r="L7" i="4" s="1"/>
  <c r="L8" i="4" s="1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L34" i="4" s="1"/>
  <c r="L35" i="4" s="1"/>
  <c r="L36" i="4" s="1"/>
  <c r="L37" i="4" s="1"/>
  <c r="L38" i="4" s="1"/>
  <c r="L39" i="4" s="1"/>
  <c r="L3" i="4"/>
  <c r="R3" i="3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68" i="3" s="1"/>
  <c r="R69" i="3" s="1"/>
  <c r="R70" i="3" s="1"/>
  <c r="R71" i="3" s="1"/>
  <c r="R72" i="3" s="1"/>
  <c r="R73" i="3" s="1"/>
  <c r="R74" i="3" s="1"/>
  <c r="R75" i="3" s="1"/>
  <c r="R76" i="3" s="1"/>
  <c r="R77" i="3" s="1"/>
  <c r="R78" i="3" s="1"/>
  <c r="R79" i="3" s="1"/>
  <c r="R80" i="3" s="1"/>
  <c r="R81" i="3" s="1"/>
  <c r="R82" i="3" s="1"/>
  <c r="R83" i="3" s="1"/>
  <c r="R84" i="3" s="1"/>
  <c r="R85" i="3" s="1"/>
  <c r="R86" i="3" s="1"/>
  <c r="R87" i="3" s="1"/>
  <c r="R88" i="3" s="1"/>
  <c r="R89" i="3" s="1"/>
  <c r="R90" i="3" s="1"/>
  <c r="R91" i="3" s="1"/>
  <c r="R92" i="3" s="1"/>
  <c r="R93" i="3" s="1"/>
  <c r="R94" i="3" s="1"/>
  <c r="R95" i="3" s="1"/>
  <c r="R96" i="3" s="1"/>
  <c r="R97" i="3" s="1"/>
  <c r="R98" i="3" s="1"/>
  <c r="R99" i="3" s="1"/>
  <c r="R100" i="3" s="1"/>
  <c r="R101" i="3" s="1"/>
  <c r="R102" i="3" s="1"/>
  <c r="R103" i="3" s="1"/>
  <c r="R104" i="3" s="1"/>
  <c r="R105" i="3" s="1"/>
  <c r="R106" i="3" s="1"/>
  <c r="R107" i="3" s="1"/>
  <c r="R108" i="3" s="1"/>
  <c r="R109" i="3" s="1"/>
  <c r="R110" i="3" s="1"/>
  <c r="R111" i="3" s="1"/>
  <c r="R112" i="3" s="1"/>
  <c r="R113" i="3" s="1"/>
  <c r="R114" i="3" s="1"/>
  <c r="R115" i="3" s="1"/>
  <c r="R116" i="3" s="1"/>
  <c r="R117" i="3" s="1"/>
  <c r="R118" i="3" s="1"/>
  <c r="R119" i="3" s="1"/>
  <c r="R120" i="3" s="1"/>
  <c r="R121" i="3" s="1"/>
  <c r="R122" i="3" s="1"/>
  <c r="R123" i="3" s="1"/>
  <c r="R124" i="3" s="1"/>
  <c r="R125" i="3" s="1"/>
  <c r="R126" i="3" s="1"/>
  <c r="R127" i="3" s="1"/>
  <c r="R128" i="3" s="1"/>
  <c r="R129" i="3" s="1"/>
  <c r="R130" i="3" s="1"/>
  <c r="R131" i="3" s="1"/>
  <c r="R132" i="3" s="1"/>
  <c r="R133" i="3" s="1"/>
  <c r="R134" i="3" s="1"/>
  <c r="R135" i="3" s="1"/>
  <c r="R136" i="3" s="1"/>
  <c r="R137" i="3" s="1"/>
  <c r="R138" i="3" s="1"/>
  <c r="R139" i="3" s="1"/>
  <c r="R140" i="3" s="1"/>
  <c r="R141" i="3" s="1"/>
  <c r="R142" i="3" s="1"/>
  <c r="R143" i="3" s="1"/>
  <c r="R144" i="3" s="1"/>
  <c r="R145" i="3" s="1"/>
  <c r="R146" i="3" s="1"/>
  <c r="R147" i="3" s="1"/>
  <c r="R148" i="3" s="1"/>
  <c r="R149" i="3" s="1"/>
  <c r="R150" i="3" s="1"/>
  <c r="R151" i="3" s="1"/>
  <c r="R152" i="3" s="1"/>
  <c r="R153" i="3" s="1"/>
  <c r="R154" i="3" s="1"/>
  <c r="R155" i="3" s="1"/>
  <c r="R156" i="3" s="1"/>
  <c r="R157" i="3" s="1"/>
  <c r="R158" i="3" s="1"/>
  <c r="R159" i="3" s="1"/>
  <c r="R160" i="3" s="1"/>
  <c r="R161" i="3" s="1"/>
  <c r="R162" i="3" s="1"/>
  <c r="R163" i="3" s="1"/>
  <c r="R164" i="3" s="1"/>
  <c r="R165" i="3" s="1"/>
  <c r="R166" i="3" s="1"/>
  <c r="R167" i="3" s="1"/>
  <c r="R168" i="3" s="1"/>
  <c r="R169" i="3" s="1"/>
  <c r="R170" i="3" s="1"/>
  <c r="R171" i="3" s="1"/>
  <c r="R172" i="3" s="1"/>
  <c r="R173" i="3" s="1"/>
  <c r="R174" i="3" s="1"/>
  <c r="R175" i="3" s="1"/>
  <c r="R176" i="3" s="1"/>
  <c r="R177" i="3" s="1"/>
  <c r="R178" i="3" s="1"/>
  <c r="R179" i="3" s="1"/>
  <c r="R180" i="3" s="1"/>
  <c r="R181" i="3" s="1"/>
  <c r="R182" i="3" s="1"/>
  <c r="R183" i="3" s="1"/>
  <c r="R184" i="3" s="1"/>
  <c r="R185" i="3" s="1"/>
  <c r="R186" i="3" s="1"/>
  <c r="R187" i="3" s="1"/>
  <c r="R188" i="3" s="1"/>
  <c r="R189" i="3" s="1"/>
  <c r="R190" i="3" s="1"/>
  <c r="R191" i="3" s="1"/>
  <c r="R192" i="3" s="1"/>
  <c r="R193" i="3" s="1"/>
  <c r="R194" i="3" s="1"/>
  <c r="R195" i="3" s="1"/>
  <c r="R196" i="3" s="1"/>
  <c r="R197" i="3" s="1"/>
  <c r="R198" i="3" s="1"/>
  <c r="R199" i="3" s="1"/>
  <c r="R200" i="3" s="1"/>
  <c r="R201" i="3" s="1"/>
  <c r="R202" i="3" s="1"/>
  <c r="R203" i="3" s="1"/>
  <c r="R204" i="3" s="1"/>
  <c r="R205" i="3" s="1"/>
  <c r="R206" i="3" s="1"/>
  <c r="R207" i="3" s="1"/>
  <c r="R208" i="3" s="1"/>
  <c r="R209" i="3" s="1"/>
  <c r="R210" i="3" s="1"/>
  <c r="R211" i="3" s="1"/>
  <c r="R212" i="3" s="1"/>
  <c r="R213" i="3" s="1"/>
  <c r="R214" i="3" s="1"/>
  <c r="R215" i="3" s="1"/>
  <c r="R216" i="3" s="1"/>
  <c r="R217" i="3" s="1"/>
  <c r="R218" i="3" s="1"/>
  <c r="R219" i="3" s="1"/>
  <c r="R220" i="3" s="1"/>
  <c r="R221" i="3" s="1"/>
  <c r="R222" i="3" s="1"/>
  <c r="R223" i="3" s="1"/>
  <c r="R224" i="3" s="1"/>
  <c r="R225" i="3" s="1"/>
  <c r="R226" i="3" s="1"/>
  <c r="R227" i="3" s="1"/>
  <c r="R228" i="3" s="1"/>
  <c r="R229" i="3" s="1"/>
  <c r="R230" i="3" s="1"/>
  <c r="R231" i="3" s="1"/>
  <c r="R232" i="3" s="1"/>
  <c r="R233" i="3" s="1"/>
  <c r="R234" i="3" s="1"/>
  <c r="R235" i="3" s="1"/>
  <c r="R236" i="3" s="1"/>
  <c r="R237" i="3" s="1"/>
  <c r="R238" i="3" s="1"/>
  <c r="R239" i="3" s="1"/>
  <c r="R240" i="3" s="1"/>
  <c r="R241" i="3" s="1"/>
  <c r="R242" i="3" s="1"/>
  <c r="R243" i="3" s="1"/>
  <c r="R244" i="3" s="1"/>
  <c r="R245" i="3" s="1"/>
  <c r="R246" i="3" s="1"/>
  <c r="R247" i="3" s="1"/>
  <c r="R248" i="3" s="1"/>
  <c r="R249" i="3" s="1"/>
  <c r="R250" i="3" s="1"/>
  <c r="R251" i="3" s="1"/>
  <c r="R252" i="3" s="1"/>
  <c r="R253" i="3" s="1"/>
  <c r="R254" i="3" s="1"/>
  <c r="R255" i="3" s="1"/>
  <c r="R256" i="3" s="1"/>
  <c r="R257" i="3" s="1"/>
  <c r="R258" i="3" s="1"/>
  <c r="R259" i="3" s="1"/>
  <c r="R260" i="3" s="1"/>
  <c r="R261" i="3" s="1"/>
  <c r="R262" i="3" s="1"/>
  <c r="R263" i="3" s="1"/>
  <c r="R264" i="3" s="1"/>
  <c r="R265" i="3" s="1"/>
  <c r="R266" i="3" s="1"/>
  <c r="R267" i="3" s="1"/>
  <c r="R268" i="3" s="1"/>
  <c r="R269" i="3" s="1"/>
  <c r="R270" i="3" s="1"/>
  <c r="R271" i="3" s="1"/>
  <c r="R272" i="3" s="1"/>
  <c r="R273" i="3" s="1"/>
  <c r="R274" i="3" s="1"/>
  <c r="R275" i="3" s="1"/>
  <c r="R276" i="3" s="1"/>
  <c r="R277" i="3" s="1"/>
  <c r="R278" i="3" s="1"/>
  <c r="R279" i="3" s="1"/>
  <c r="R280" i="3" s="1"/>
  <c r="R281" i="3" s="1"/>
  <c r="R282" i="3" s="1"/>
  <c r="R283" i="3" s="1"/>
  <c r="R284" i="3" s="1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G3" i="7"/>
  <c r="G4" i="7" s="1"/>
  <c r="G5" i="7" s="1"/>
  <c r="G6" i="7" s="1"/>
  <c r="G7" i="7" s="1"/>
  <c r="G8" i="7" s="1"/>
  <c r="G9" i="7" s="1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G38" i="7" s="1"/>
  <c r="G39" i="7" s="1"/>
  <c r="G40" i="7" s="1"/>
  <c r="G41" i="7" s="1"/>
  <c r="G42" i="7" s="1"/>
  <c r="G43" i="7" s="1"/>
  <c r="G44" i="7" s="1"/>
  <c r="G45" i="7" s="1"/>
  <c r="G46" i="7" s="1"/>
  <c r="G47" i="7" s="1"/>
  <c r="G48" i="7" s="1"/>
  <c r="G49" i="7" s="1"/>
  <c r="G50" i="7" s="1"/>
  <c r="G51" i="7" s="1"/>
  <c r="G52" i="7" s="1"/>
  <c r="G53" i="7" s="1"/>
  <c r="G54" i="7" s="1"/>
  <c r="G55" i="7" s="1"/>
  <c r="G56" i="7" s="1"/>
  <c r="G57" i="7" s="1"/>
  <c r="G58" i="7" s="1"/>
  <c r="G59" i="7" s="1"/>
  <c r="G60" i="7" s="1"/>
  <c r="G61" i="7" s="1"/>
  <c r="G62" i="7" s="1"/>
  <c r="G63" i="7" s="1"/>
  <c r="G64" i="7" s="1"/>
  <c r="G65" i="7" s="1"/>
  <c r="G66" i="7" s="1"/>
  <c r="G67" i="7" s="1"/>
  <c r="G68" i="7" s="1"/>
  <c r="G69" i="7" s="1"/>
  <c r="G70" i="7" s="1"/>
  <c r="G71" i="7" s="1"/>
  <c r="G72" i="7" s="1"/>
  <c r="G73" i="7" s="1"/>
  <c r="G74" i="7" s="1"/>
  <c r="G75" i="7" s="1"/>
  <c r="G76" i="7" s="1"/>
  <c r="G77" i="7" s="1"/>
  <c r="G78" i="7" s="1"/>
  <c r="G79" i="7" s="1"/>
  <c r="G80" i="7" s="1"/>
  <c r="G81" i="7" s="1"/>
  <c r="G82" i="7" s="1"/>
  <c r="G83" i="7" s="1"/>
  <c r="G84" i="7" s="1"/>
  <c r="G85" i="7" s="1"/>
  <c r="I284" i="3"/>
  <c r="N284" i="3" s="1"/>
  <c r="I283" i="3"/>
  <c r="N283" i="3" s="1"/>
  <c r="I282" i="3"/>
  <c r="N282" i="3" s="1"/>
  <c r="I281" i="3"/>
  <c r="N281" i="3" s="1"/>
  <c r="I280" i="3"/>
  <c r="N280" i="3" s="1"/>
  <c r="I279" i="3"/>
  <c r="N279" i="3" s="1"/>
  <c r="I278" i="3"/>
  <c r="N278" i="3" s="1"/>
  <c r="I277" i="3"/>
  <c r="N277" i="3" s="1"/>
  <c r="I276" i="3"/>
  <c r="N276" i="3" s="1"/>
  <c r="I275" i="3"/>
  <c r="N275" i="3" s="1"/>
  <c r="I274" i="3"/>
  <c r="N274" i="3" s="1"/>
  <c r="I273" i="3"/>
  <c r="N273" i="3" s="1"/>
  <c r="I272" i="3"/>
  <c r="N272" i="3" s="1"/>
  <c r="I271" i="3"/>
  <c r="N271" i="3" s="1"/>
  <c r="I270" i="3"/>
  <c r="N270" i="3" s="1"/>
  <c r="I269" i="3"/>
  <c r="N269" i="3" s="1"/>
  <c r="I268" i="3"/>
  <c r="N268" i="3" s="1"/>
  <c r="I267" i="3"/>
  <c r="N267" i="3" s="1"/>
  <c r="I266" i="3"/>
  <c r="N266" i="3" s="1"/>
  <c r="I265" i="3"/>
  <c r="N265" i="3" s="1"/>
  <c r="I264" i="3"/>
  <c r="N264" i="3" s="1"/>
  <c r="I263" i="3"/>
  <c r="N263" i="3" s="1"/>
  <c r="I262" i="3"/>
  <c r="N262" i="3" s="1"/>
  <c r="I261" i="3"/>
  <c r="N261" i="3" s="1"/>
  <c r="I260" i="3"/>
  <c r="N260" i="3" s="1"/>
  <c r="I259" i="3"/>
  <c r="N259" i="3" s="1"/>
  <c r="I258" i="3"/>
  <c r="N258" i="3" s="1"/>
  <c r="I257" i="3"/>
  <c r="N257" i="3" s="1"/>
  <c r="I256" i="3"/>
  <c r="N256" i="3" s="1"/>
  <c r="I255" i="3"/>
  <c r="N255" i="3" s="1"/>
  <c r="I254" i="3"/>
  <c r="N254" i="3" s="1"/>
  <c r="I253" i="3"/>
  <c r="N253" i="3" s="1"/>
  <c r="I252" i="3"/>
  <c r="N252" i="3" s="1"/>
  <c r="I251" i="3"/>
  <c r="N251" i="3" s="1"/>
  <c r="I250" i="3"/>
  <c r="N250" i="3" s="1"/>
  <c r="I249" i="3"/>
  <c r="N249" i="3" s="1"/>
  <c r="I248" i="3"/>
  <c r="N248" i="3" s="1"/>
  <c r="I247" i="3"/>
  <c r="N247" i="3" s="1"/>
  <c r="I246" i="3"/>
  <c r="N246" i="3" s="1"/>
  <c r="I245" i="3"/>
  <c r="N245" i="3" s="1"/>
  <c r="I244" i="3"/>
  <c r="N244" i="3" s="1"/>
  <c r="I243" i="3"/>
  <c r="N243" i="3" s="1"/>
  <c r="I242" i="3"/>
  <c r="N242" i="3" s="1"/>
  <c r="I241" i="3"/>
  <c r="N241" i="3" s="1"/>
  <c r="I240" i="3"/>
  <c r="N240" i="3" s="1"/>
  <c r="I239" i="3"/>
  <c r="N239" i="3" s="1"/>
  <c r="I238" i="3"/>
  <c r="N238" i="3" s="1"/>
  <c r="I237" i="3"/>
  <c r="N237" i="3" s="1"/>
  <c r="I236" i="3"/>
  <c r="N236" i="3" s="1"/>
  <c r="I235" i="3"/>
  <c r="N235" i="3" s="1"/>
  <c r="I234" i="3"/>
  <c r="N234" i="3" s="1"/>
  <c r="I233" i="3"/>
  <c r="N233" i="3" s="1"/>
  <c r="I232" i="3"/>
  <c r="N232" i="3" s="1"/>
  <c r="I231" i="3"/>
  <c r="N231" i="3" s="1"/>
  <c r="I230" i="3"/>
  <c r="N230" i="3" s="1"/>
  <c r="I229" i="3"/>
  <c r="N229" i="3" s="1"/>
  <c r="I228" i="3"/>
  <c r="N228" i="3" s="1"/>
  <c r="I227" i="3"/>
  <c r="N227" i="3" s="1"/>
  <c r="I226" i="3"/>
  <c r="N226" i="3" s="1"/>
  <c r="I225" i="3"/>
  <c r="N225" i="3" s="1"/>
  <c r="I224" i="3"/>
  <c r="N224" i="3" s="1"/>
  <c r="I223" i="3"/>
  <c r="N223" i="3" s="1"/>
  <c r="I222" i="3"/>
  <c r="N222" i="3" s="1"/>
  <c r="I221" i="3"/>
  <c r="N221" i="3" s="1"/>
  <c r="I220" i="3"/>
  <c r="N220" i="3" s="1"/>
  <c r="I219" i="3"/>
  <c r="N219" i="3" s="1"/>
  <c r="I218" i="3"/>
  <c r="N218" i="3" s="1"/>
  <c r="I217" i="3"/>
  <c r="N217" i="3" s="1"/>
  <c r="I216" i="3"/>
  <c r="N216" i="3" s="1"/>
  <c r="I215" i="3"/>
  <c r="N215" i="3" s="1"/>
  <c r="I214" i="3"/>
  <c r="N214" i="3" s="1"/>
  <c r="I213" i="3"/>
  <c r="N213" i="3" s="1"/>
  <c r="I212" i="3"/>
  <c r="N212" i="3" s="1"/>
  <c r="I211" i="3"/>
  <c r="N211" i="3" s="1"/>
  <c r="I210" i="3"/>
  <c r="N210" i="3" s="1"/>
  <c r="I209" i="3"/>
  <c r="N209" i="3" s="1"/>
  <c r="I208" i="3"/>
  <c r="N208" i="3" s="1"/>
  <c r="I207" i="3"/>
  <c r="N207" i="3" s="1"/>
  <c r="I206" i="3"/>
  <c r="N206" i="3" s="1"/>
  <c r="I205" i="3"/>
  <c r="N205" i="3" s="1"/>
  <c r="I204" i="3"/>
  <c r="N204" i="3" s="1"/>
  <c r="I203" i="3"/>
  <c r="N203" i="3" s="1"/>
  <c r="I202" i="3"/>
  <c r="N202" i="3" s="1"/>
  <c r="I201" i="3"/>
  <c r="N201" i="3" s="1"/>
  <c r="I200" i="3"/>
  <c r="N200" i="3" s="1"/>
  <c r="I199" i="3"/>
  <c r="N199" i="3" s="1"/>
  <c r="I198" i="3"/>
  <c r="N198" i="3" s="1"/>
  <c r="I197" i="3"/>
  <c r="N197" i="3" s="1"/>
  <c r="I196" i="3"/>
  <c r="N196" i="3" s="1"/>
  <c r="I195" i="3"/>
  <c r="N195" i="3" s="1"/>
  <c r="I194" i="3"/>
  <c r="N194" i="3" s="1"/>
  <c r="I193" i="3"/>
  <c r="N193" i="3" s="1"/>
  <c r="I192" i="3"/>
  <c r="N192" i="3" s="1"/>
  <c r="I191" i="3"/>
  <c r="N191" i="3" s="1"/>
  <c r="I190" i="3"/>
  <c r="N190" i="3" s="1"/>
  <c r="I189" i="3"/>
  <c r="N189" i="3" s="1"/>
  <c r="I188" i="3"/>
  <c r="N188" i="3" s="1"/>
  <c r="I187" i="3"/>
  <c r="N187" i="3" s="1"/>
  <c r="I186" i="3"/>
  <c r="N186" i="3" s="1"/>
  <c r="I185" i="3"/>
  <c r="N185" i="3" s="1"/>
  <c r="I184" i="3"/>
  <c r="N184" i="3" s="1"/>
  <c r="I183" i="3"/>
  <c r="N183" i="3" s="1"/>
  <c r="I182" i="3"/>
  <c r="N182" i="3" s="1"/>
  <c r="I181" i="3"/>
  <c r="N181" i="3" s="1"/>
  <c r="I180" i="3"/>
  <c r="N180" i="3" s="1"/>
  <c r="I179" i="3"/>
  <c r="N179" i="3" s="1"/>
  <c r="I178" i="3"/>
  <c r="N178" i="3" s="1"/>
  <c r="I177" i="3"/>
  <c r="N177" i="3" s="1"/>
  <c r="I176" i="3"/>
  <c r="N176" i="3" s="1"/>
  <c r="I175" i="3"/>
  <c r="N175" i="3" s="1"/>
  <c r="I174" i="3"/>
  <c r="N174" i="3" s="1"/>
  <c r="I173" i="3"/>
  <c r="N173" i="3" s="1"/>
  <c r="I172" i="3"/>
  <c r="N172" i="3" s="1"/>
  <c r="I171" i="3"/>
  <c r="N171" i="3" s="1"/>
  <c r="I170" i="3"/>
  <c r="N170" i="3" s="1"/>
  <c r="I169" i="3"/>
  <c r="N169" i="3" s="1"/>
  <c r="I168" i="3"/>
  <c r="N168" i="3" s="1"/>
  <c r="I167" i="3"/>
  <c r="N167" i="3" s="1"/>
  <c r="I166" i="3"/>
  <c r="N166" i="3" s="1"/>
  <c r="I165" i="3"/>
  <c r="N165" i="3" s="1"/>
  <c r="I164" i="3"/>
  <c r="N164" i="3" s="1"/>
  <c r="I163" i="3"/>
  <c r="N163" i="3" s="1"/>
  <c r="I162" i="3"/>
  <c r="N162" i="3" s="1"/>
  <c r="I161" i="3"/>
  <c r="N161" i="3" s="1"/>
  <c r="I160" i="3"/>
  <c r="N160" i="3" s="1"/>
  <c r="I159" i="3"/>
  <c r="N159" i="3" s="1"/>
  <c r="I158" i="3"/>
  <c r="N158" i="3" s="1"/>
  <c r="I157" i="3"/>
  <c r="N157" i="3" s="1"/>
  <c r="I156" i="3"/>
  <c r="N156" i="3" s="1"/>
  <c r="I155" i="3"/>
  <c r="N155" i="3" s="1"/>
  <c r="I154" i="3"/>
  <c r="N154" i="3" s="1"/>
  <c r="I153" i="3"/>
  <c r="N153" i="3" s="1"/>
  <c r="I152" i="3"/>
  <c r="N152" i="3" s="1"/>
  <c r="I151" i="3"/>
  <c r="N151" i="3" s="1"/>
  <c r="I150" i="3"/>
  <c r="N150" i="3" s="1"/>
  <c r="I149" i="3"/>
  <c r="N149" i="3" s="1"/>
  <c r="I148" i="3"/>
  <c r="N148" i="3" s="1"/>
  <c r="I147" i="3"/>
  <c r="N147" i="3" s="1"/>
  <c r="I146" i="3"/>
  <c r="N146" i="3" s="1"/>
  <c r="I145" i="3"/>
  <c r="N145" i="3" s="1"/>
  <c r="I144" i="3"/>
  <c r="N144" i="3" s="1"/>
  <c r="I143" i="3"/>
  <c r="N143" i="3" s="1"/>
  <c r="I142" i="3"/>
  <c r="N142" i="3" s="1"/>
  <c r="I141" i="3"/>
  <c r="N141" i="3" s="1"/>
  <c r="I140" i="3"/>
  <c r="N140" i="3" s="1"/>
  <c r="I139" i="3"/>
  <c r="N139" i="3" s="1"/>
  <c r="I138" i="3"/>
  <c r="N138" i="3" s="1"/>
  <c r="I137" i="3"/>
  <c r="N137" i="3" s="1"/>
  <c r="I136" i="3"/>
  <c r="N136" i="3" s="1"/>
  <c r="I135" i="3"/>
  <c r="N135" i="3" s="1"/>
  <c r="I134" i="3"/>
  <c r="N134" i="3" s="1"/>
  <c r="I133" i="3"/>
  <c r="N133" i="3" s="1"/>
  <c r="I132" i="3"/>
  <c r="N132" i="3" s="1"/>
  <c r="I131" i="3"/>
  <c r="N131" i="3" s="1"/>
  <c r="I130" i="3"/>
  <c r="N130" i="3" s="1"/>
  <c r="I129" i="3"/>
  <c r="N129" i="3" s="1"/>
  <c r="I128" i="3"/>
  <c r="N128" i="3" s="1"/>
  <c r="I127" i="3"/>
  <c r="N127" i="3" s="1"/>
  <c r="I126" i="3"/>
  <c r="N126" i="3" s="1"/>
  <c r="I125" i="3"/>
  <c r="N125" i="3" s="1"/>
  <c r="I124" i="3"/>
  <c r="N124" i="3" s="1"/>
  <c r="I123" i="3"/>
  <c r="N123" i="3" s="1"/>
  <c r="I122" i="3"/>
  <c r="N122" i="3" s="1"/>
  <c r="I121" i="3"/>
  <c r="N121" i="3" s="1"/>
  <c r="I120" i="3"/>
  <c r="N120" i="3" s="1"/>
  <c r="I119" i="3"/>
  <c r="N119" i="3" s="1"/>
  <c r="I118" i="3"/>
  <c r="N118" i="3" s="1"/>
  <c r="I117" i="3"/>
  <c r="N117" i="3" s="1"/>
  <c r="I116" i="3"/>
  <c r="N116" i="3" s="1"/>
  <c r="I115" i="3"/>
  <c r="N115" i="3" s="1"/>
  <c r="I114" i="3"/>
  <c r="N114" i="3" s="1"/>
  <c r="I113" i="3"/>
  <c r="N113" i="3" s="1"/>
  <c r="I112" i="3"/>
  <c r="N112" i="3" s="1"/>
  <c r="I111" i="3"/>
  <c r="N111" i="3" s="1"/>
  <c r="I110" i="3"/>
  <c r="N110" i="3" s="1"/>
  <c r="I109" i="3"/>
  <c r="N109" i="3" s="1"/>
  <c r="I108" i="3"/>
  <c r="N108" i="3" s="1"/>
  <c r="I107" i="3"/>
  <c r="N107" i="3" s="1"/>
  <c r="I106" i="3"/>
  <c r="N106" i="3" s="1"/>
  <c r="I105" i="3"/>
  <c r="N105" i="3" s="1"/>
  <c r="I104" i="3"/>
  <c r="N104" i="3" s="1"/>
  <c r="I103" i="3"/>
  <c r="N103" i="3" s="1"/>
  <c r="I102" i="3"/>
  <c r="N102" i="3" s="1"/>
  <c r="I101" i="3"/>
  <c r="N101" i="3" s="1"/>
  <c r="I100" i="3"/>
  <c r="N100" i="3" s="1"/>
  <c r="I99" i="3"/>
  <c r="N99" i="3" s="1"/>
  <c r="I98" i="3"/>
  <c r="N98" i="3" s="1"/>
  <c r="I97" i="3"/>
  <c r="N97" i="3" s="1"/>
  <c r="I96" i="3"/>
  <c r="N96" i="3" s="1"/>
  <c r="I95" i="3"/>
  <c r="N95" i="3" s="1"/>
  <c r="I94" i="3"/>
  <c r="N94" i="3" s="1"/>
  <c r="I93" i="3"/>
  <c r="N93" i="3" s="1"/>
  <c r="I92" i="3"/>
  <c r="N92" i="3" s="1"/>
  <c r="I91" i="3"/>
  <c r="N91" i="3" s="1"/>
  <c r="I90" i="3"/>
  <c r="N90" i="3" s="1"/>
  <c r="I89" i="3"/>
  <c r="N89" i="3" s="1"/>
  <c r="I88" i="3"/>
  <c r="N88" i="3" s="1"/>
  <c r="I87" i="3"/>
  <c r="N87" i="3" s="1"/>
  <c r="I86" i="3"/>
  <c r="N86" i="3" s="1"/>
  <c r="I85" i="3"/>
  <c r="N85" i="3" s="1"/>
  <c r="I84" i="3"/>
  <c r="N84" i="3" s="1"/>
  <c r="I83" i="3"/>
  <c r="N83" i="3" s="1"/>
  <c r="I82" i="3"/>
  <c r="N82" i="3" s="1"/>
  <c r="I81" i="3"/>
  <c r="N81" i="3" s="1"/>
  <c r="I80" i="3"/>
  <c r="N80" i="3" s="1"/>
  <c r="I79" i="3"/>
  <c r="N79" i="3" s="1"/>
  <c r="I78" i="3"/>
  <c r="N78" i="3" s="1"/>
  <c r="I77" i="3"/>
  <c r="N77" i="3" s="1"/>
  <c r="I76" i="3"/>
  <c r="N76" i="3" s="1"/>
  <c r="I75" i="3"/>
  <c r="N75" i="3" s="1"/>
  <c r="I74" i="3"/>
  <c r="N74" i="3" s="1"/>
  <c r="I73" i="3"/>
  <c r="N73" i="3" s="1"/>
  <c r="I72" i="3"/>
  <c r="N72" i="3" s="1"/>
  <c r="I71" i="3"/>
  <c r="N71" i="3" s="1"/>
  <c r="I70" i="3"/>
  <c r="N70" i="3" s="1"/>
  <c r="I69" i="3"/>
  <c r="N69" i="3" s="1"/>
  <c r="I68" i="3"/>
  <c r="N68" i="3" s="1"/>
  <c r="I67" i="3"/>
  <c r="N67" i="3" s="1"/>
  <c r="I66" i="3"/>
  <c r="N66" i="3" s="1"/>
  <c r="I65" i="3"/>
  <c r="N65" i="3" s="1"/>
  <c r="I64" i="3"/>
  <c r="N64" i="3" s="1"/>
  <c r="I63" i="3"/>
  <c r="N63" i="3" s="1"/>
  <c r="I62" i="3"/>
  <c r="N62" i="3" s="1"/>
  <c r="I61" i="3"/>
  <c r="N61" i="3" s="1"/>
  <c r="I60" i="3"/>
  <c r="N60" i="3" s="1"/>
  <c r="I59" i="3"/>
  <c r="N59" i="3" s="1"/>
  <c r="I58" i="3"/>
  <c r="N58" i="3" s="1"/>
  <c r="I57" i="3"/>
  <c r="N57" i="3" s="1"/>
  <c r="I56" i="3"/>
  <c r="N56" i="3" s="1"/>
  <c r="I55" i="3"/>
  <c r="N55" i="3" s="1"/>
  <c r="I54" i="3"/>
  <c r="N54" i="3" s="1"/>
  <c r="I53" i="3"/>
  <c r="N53" i="3" s="1"/>
  <c r="I52" i="3"/>
  <c r="N52" i="3" s="1"/>
  <c r="I51" i="3"/>
  <c r="N51" i="3" s="1"/>
  <c r="I50" i="3"/>
  <c r="N50" i="3" s="1"/>
  <c r="I49" i="3"/>
  <c r="N49" i="3" s="1"/>
  <c r="I48" i="3"/>
  <c r="N48" i="3" s="1"/>
  <c r="I47" i="3"/>
  <c r="N47" i="3" s="1"/>
  <c r="I46" i="3"/>
  <c r="N46" i="3" s="1"/>
  <c r="I45" i="3"/>
  <c r="N45" i="3" s="1"/>
  <c r="I44" i="3"/>
  <c r="N44" i="3" s="1"/>
  <c r="I43" i="3"/>
  <c r="N43" i="3" s="1"/>
  <c r="I42" i="3"/>
  <c r="N42" i="3" s="1"/>
  <c r="I41" i="3"/>
  <c r="N41" i="3" s="1"/>
  <c r="I40" i="3"/>
  <c r="N40" i="3" s="1"/>
  <c r="I39" i="3"/>
  <c r="N39" i="3" s="1"/>
  <c r="I38" i="3"/>
  <c r="N38" i="3" s="1"/>
  <c r="I37" i="3"/>
  <c r="N37" i="3" s="1"/>
  <c r="I36" i="3"/>
  <c r="N36" i="3" s="1"/>
  <c r="I35" i="3"/>
  <c r="N35" i="3" s="1"/>
  <c r="I34" i="3"/>
  <c r="N34" i="3" s="1"/>
  <c r="I33" i="3"/>
  <c r="N33" i="3" s="1"/>
  <c r="I32" i="3"/>
  <c r="N32" i="3" s="1"/>
  <c r="I31" i="3"/>
  <c r="N31" i="3" s="1"/>
  <c r="I30" i="3"/>
  <c r="N30" i="3" s="1"/>
  <c r="I29" i="3"/>
  <c r="N29" i="3" s="1"/>
  <c r="I28" i="3"/>
  <c r="N28" i="3" s="1"/>
  <c r="I27" i="3"/>
  <c r="N27" i="3" s="1"/>
  <c r="I26" i="3"/>
  <c r="N26" i="3" s="1"/>
  <c r="I25" i="3"/>
  <c r="N25" i="3" s="1"/>
  <c r="I24" i="3"/>
  <c r="N24" i="3" s="1"/>
  <c r="I23" i="3"/>
  <c r="N23" i="3" s="1"/>
  <c r="I22" i="3"/>
  <c r="N22" i="3" s="1"/>
  <c r="I21" i="3"/>
  <c r="N21" i="3" s="1"/>
  <c r="I20" i="3"/>
  <c r="N20" i="3" s="1"/>
  <c r="I19" i="3"/>
  <c r="N19" i="3" s="1"/>
  <c r="I18" i="3"/>
  <c r="N18" i="3" s="1"/>
  <c r="I17" i="3"/>
  <c r="N17" i="3" s="1"/>
  <c r="I16" i="3"/>
  <c r="N16" i="3" s="1"/>
  <c r="I15" i="3"/>
  <c r="N15" i="3" s="1"/>
  <c r="I14" i="3"/>
  <c r="N14" i="3" s="1"/>
  <c r="I13" i="3"/>
  <c r="N13" i="3" s="1"/>
  <c r="I12" i="3"/>
  <c r="N12" i="3" s="1"/>
  <c r="I11" i="3"/>
  <c r="N11" i="3" s="1"/>
  <c r="I10" i="3"/>
  <c r="N10" i="3" s="1"/>
  <c r="I9" i="3"/>
  <c r="N9" i="3" s="1"/>
  <c r="I8" i="3"/>
  <c r="N8" i="3" s="1"/>
  <c r="I7" i="3"/>
  <c r="N7" i="3" s="1"/>
  <c r="I6" i="3"/>
  <c r="N6" i="3" s="1"/>
  <c r="I5" i="3"/>
  <c r="N5" i="3" s="1"/>
  <c r="I4" i="3"/>
  <c r="N4" i="3" s="1"/>
  <c r="I3" i="3"/>
  <c r="N3" i="3" s="1"/>
  <c r="I2" i="3"/>
  <c r="N2" i="3" s="1"/>
  <c r="J458" i="6"/>
  <c r="G458" i="6"/>
  <c r="F458" i="6"/>
  <c r="G457" i="6"/>
  <c r="F457" i="6"/>
  <c r="J457" i="6" s="1"/>
  <c r="G456" i="6"/>
  <c r="F456" i="6"/>
  <c r="J456" i="6" s="1"/>
  <c r="G455" i="6"/>
  <c r="F455" i="6"/>
  <c r="J455" i="6" s="1"/>
  <c r="J454" i="6"/>
  <c r="G454" i="6"/>
  <c r="F454" i="6"/>
  <c r="G453" i="6"/>
  <c r="F453" i="6"/>
  <c r="J453" i="6" s="1"/>
  <c r="G452" i="6"/>
  <c r="F452" i="6"/>
  <c r="G451" i="6"/>
  <c r="F451" i="6"/>
  <c r="J451" i="6" s="1"/>
  <c r="J450" i="6"/>
  <c r="G450" i="6"/>
  <c r="F450" i="6"/>
  <c r="G449" i="6"/>
  <c r="F449" i="6"/>
  <c r="J449" i="6" s="1"/>
  <c r="G448" i="6"/>
  <c r="F448" i="6"/>
  <c r="J448" i="6" s="1"/>
  <c r="G447" i="6"/>
  <c r="F447" i="6"/>
  <c r="J447" i="6" s="1"/>
  <c r="J446" i="6"/>
  <c r="G446" i="6"/>
  <c r="F446" i="6"/>
  <c r="G445" i="6"/>
  <c r="F445" i="6"/>
  <c r="J445" i="6" s="1"/>
  <c r="G444" i="6"/>
  <c r="F444" i="6"/>
  <c r="G443" i="6"/>
  <c r="J443" i="6" s="1"/>
  <c r="F443" i="6"/>
  <c r="J442" i="6"/>
  <c r="G442" i="6"/>
  <c r="F442" i="6"/>
  <c r="G441" i="6"/>
  <c r="F441" i="6"/>
  <c r="J441" i="6" s="1"/>
  <c r="G440" i="6"/>
  <c r="F440" i="6"/>
  <c r="J440" i="6" s="1"/>
  <c r="G439" i="6"/>
  <c r="F439" i="6"/>
  <c r="J439" i="6" s="1"/>
  <c r="J438" i="6"/>
  <c r="G438" i="6"/>
  <c r="F438" i="6"/>
  <c r="G437" i="6"/>
  <c r="F437" i="6"/>
  <c r="J437" i="6" s="1"/>
  <c r="G436" i="6"/>
  <c r="F436" i="6"/>
  <c r="J436" i="6" s="1"/>
  <c r="G435" i="6"/>
  <c r="J435" i="6" s="1"/>
  <c r="F435" i="6"/>
  <c r="J434" i="6"/>
  <c r="G434" i="6"/>
  <c r="F434" i="6"/>
  <c r="G433" i="6"/>
  <c r="F433" i="6"/>
  <c r="J433" i="6" s="1"/>
  <c r="G432" i="6"/>
  <c r="F432" i="6"/>
  <c r="J432" i="6" s="1"/>
  <c r="G431" i="6"/>
  <c r="F431" i="6"/>
  <c r="J431" i="6" s="1"/>
  <c r="J430" i="6"/>
  <c r="G430" i="6"/>
  <c r="F430" i="6"/>
  <c r="G429" i="6"/>
  <c r="F429" i="6"/>
  <c r="J429" i="6" s="1"/>
  <c r="G428" i="6"/>
  <c r="F428" i="6"/>
  <c r="J428" i="6" s="1"/>
  <c r="G427" i="6"/>
  <c r="F427" i="6"/>
  <c r="J427" i="6" s="1"/>
  <c r="J426" i="6"/>
  <c r="G426" i="6"/>
  <c r="F426" i="6"/>
  <c r="G425" i="6"/>
  <c r="F425" i="6"/>
  <c r="J425" i="6" s="1"/>
  <c r="G424" i="6"/>
  <c r="F424" i="6"/>
  <c r="J424" i="6" s="1"/>
  <c r="G423" i="6"/>
  <c r="F423" i="6"/>
  <c r="J423" i="6" s="1"/>
  <c r="J422" i="6"/>
  <c r="G422" i="6"/>
  <c r="F422" i="6"/>
  <c r="G421" i="6"/>
  <c r="F421" i="6"/>
  <c r="J421" i="6" s="1"/>
  <c r="G420" i="6"/>
  <c r="F420" i="6"/>
  <c r="G419" i="6"/>
  <c r="J419" i="6" s="1"/>
  <c r="F419" i="6"/>
  <c r="J418" i="6"/>
  <c r="G418" i="6"/>
  <c r="F418" i="6"/>
  <c r="G417" i="6"/>
  <c r="F417" i="6"/>
  <c r="J417" i="6" s="1"/>
  <c r="G416" i="6"/>
  <c r="F416" i="6"/>
  <c r="J416" i="6" s="1"/>
  <c r="G415" i="6"/>
  <c r="F415" i="6"/>
  <c r="J415" i="6" s="1"/>
  <c r="J414" i="6"/>
  <c r="G414" i="6"/>
  <c r="F414" i="6"/>
  <c r="G413" i="6"/>
  <c r="F413" i="6"/>
  <c r="J413" i="6" s="1"/>
  <c r="G412" i="6"/>
  <c r="F412" i="6"/>
  <c r="J412" i="6" s="1"/>
  <c r="G411" i="6"/>
  <c r="J411" i="6" s="1"/>
  <c r="F411" i="6"/>
  <c r="J410" i="6"/>
  <c r="G410" i="6"/>
  <c r="F410" i="6"/>
  <c r="G409" i="6"/>
  <c r="F409" i="6"/>
  <c r="J409" i="6" s="1"/>
  <c r="G408" i="6"/>
  <c r="F408" i="6"/>
  <c r="J408" i="6" s="1"/>
  <c r="G407" i="6"/>
  <c r="F407" i="6"/>
  <c r="J407" i="6" s="1"/>
  <c r="J406" i="6"/>
  <c r="G406" i="6"/>
  <c r="F406" i="6"/>
  <c r="G405" i="6"/>
  <c r="F405" i="6"/>
  <c r="J405" i="6" s="1"/>
  <c r="G404" i="6"/>
  <c r="F404" i="6"/>
  <c r="J404" i="6" s="1"/>
  <c r="G403" i="6"/>
  <c r="F403" i="6"/>
  <c r="J403" i="6" s="1"/>
  <c r="J402" i="6"/>
  <c r="G402" i="6"/>
  <c r="F402" i="6"/>
  <c r="G401" i="6"/>
  <c r="F401" i="6"/>
  <c r="J401" i="6" s="1"/>
  <c r="G400" i="6"/>
  <c r="F400" i="6"/>
  <c r="J400" i="6" s="1"/>
  <c r="G399" i="6"/>
  <c r="F399" i="6"/>
  <c r="J399" i="6" s="1"/>
  <c r="J398" i="6"/>
  <c r="G398" i="6"/>
  <c r="F398" i="6"/>
  <c r="G397" i="6"/>
  <c r="F397" i="6"/>
  <c r="J397" i="6" s="1"/>
  <c r="G396" i="6"/>
  <c r="F396" i="6"/>
  <c r="G395" i="6"/>
  <c r="J395" i="6" s="1"/>
  <c r="F395" i="6"/>
  <c r="J394" i="6"/>
  <c r="G394" i="6"/>
  <c r="F394" i="6"/>
  <c r="G393" i="6"/>
  <c r="F393" i="6"/>
  <c r="J393" i="6" s="1"/>
  <c r="G392" i="6"/>
  <c r="F392" i="6"/>
  <c r="J392" i="6" s="1"/>
  <c r="G391" i="6"/>
  <c r="F391" i="6"/>
  <c r="J391" i="6" s="1"/>
  <c r="J390" i="6"/>
  <c r="G390" i="6"/>
  <c r="F390" i="6"/>
  <c r="G389" i="6"/>
  <c r="F389" i="6"/>
  <c r="J389" i="6" s="1"/>
  <c r="G388" i="6"/>
  <c r="F388" i="6"/>
  <c r="J388" i="6" s="1"/>
  <c r="G387" i="6"/>
  <c r="J387" i="6" s="1"/>
  <c r="F387" i="6"/>
  <c r="J386" i="6"/>
  <c r="G386" i="6"/>
  <c r="F386" i="6"/>
  <c r="G385" i="6"/>
  <c r="F385" i="6"/>
  <c r="J385" i="6" s="1"/>
  <c r="G384" i="6"/>
  <c r="F384" i="6"/>
  <c r="J384" i="6" s="1"/>
  <c r="G383" i="6"/>
  <c r="F383" i="6"/>
  <c r="J383" i="6" s="1"/>
  <c r="J382" i="6"/>
  <c r="G382" i="6"/>
  <c r="F382" i="6"/>
  <c r="G381" i="6"/>
  <c r="F381" i="6"/>
  <c r="J381" i="6" s="1"/>
  <c r="G380" i="6"/>
  <c r="F380" i="6"/>
  <c r="J380" i="6" s="1"/>
  <c r="G379" i="6"/>
  <c r="F379" i="6"/>
  <c r="J379" i="6" s="1"/>
  <c r="J378" i="6"/>
  <c r="G378" i="6"/>
  <c r="F378" i="6"/>
  <c r="G377" i="6"/>
  <c r="F377" i="6"/>
  <c r="J377" i="6" s="1"/>
  <c r="G376" i="6"/>
  <c r="F376" i="6"/>
  <c r="J376" i="6" s="1"/>
  <c r="G375" i="6"/>
  <c r="F375" i="6"/>
  <c r="J375" i="6" s="1"/>
  <c r="J374" i="6"/>
  <c r="G374" i="6"/>
  <c r="F374" i="6"/>
  <c r="G373" i="6"/>
  <c r="F373" i="6"/>
  <c r="J373" i="6" s="1"/>
  <c r="G372" i="6"/>
  <c r="F372" i="6"/>
  <c r="G371" i="6"/>
  <c r="F371" i="6"/>
  <c r="J371" i="6" s="1"/>
  <c r="J370" i="6"/>
  <c r="G370" i="6"/>
  <c r="F370" i="6"/>
  <c r="G369" i="6"/>
  <c r="F369" i="6"/>
  <c r="J369" i="6" s="1"/>
  <c r="G368" i="6"/>
  <c r="F368" i="6"/>
  <c r="J368" i="6" s="1"/>
  <c r="G367" i="6"/>
  <c r="F367" i="6"/>
  <c r="J367" i="6" s="1"/>
  <c r="J366" i="6"/>
  <c r="G366" i="6"/>
  <c r="F366" i="6"/>
  <c r="G365" i="6"/>
  <c r="F365" i="6"/>
  <c r="J365" i="6" s="1"/>
  <c r="G364" i="6"/>
  <c r="F364" i="6"/>
  <c r="J364" i="6" s="1"/>
  <c r="G363" i="6"/>
  <c r="J363" i="6" s="1"/>
  <c r="F363" i="6"/>
  <c r="J362" i="6"/>
  <c r="G362" i="6"/>
  <c r="F362" i="6"/>
  <c r="G361" i="6"/>
  <c r="F361" i="6"/>
  <c r="J361" i="6" s="1"/>
  <c r="G360" i="6"/>
  <c r="F360" i="6"/>
  <c r="J360" i="6" s="1"/>
  <c r="G359" i="6"/>
  <c r="F359" i="6"/>
  <c r="J359" i="6" s="1"/>
  <c r="J358" i="6"/>
  <c r="G358" i="6"/>
  <c r="F358" i="6"/>
  <c r="G357" i="6"/>
  <c r="F357" i="6"/>
  <c r="J357" i="6" s="1"/>
  <c r="G356" i="6"/>
  <c r="F356" i="6"/>
  <c r="J356" i="6" s="1"/>
  <c r="G355" i="6"/>
  <c r="F355" i="6"/>
  <c r="J355" i="6" s="1"/>
  <c r="J354" i="6"/>
  <c r="G354" i="6"/>
  <c r="F354" i="6"/>
  <c r="G353" i="6"/>
  <c r="F353" i="6"/>
  <c r="J353" i="6" s="1"/>
  <c r="G352" i="6"/>
  <c r="F352" i="6"/>
  <c r="J352" i="6" s="1"/>
  <c r="G351" i="6"/>
  <c r="F351" i="6"/>
  <c r="J351" i="6" s="1"/>
  <c r="J350" i="6"/>
  <c r="G350" i="6"/>
  <c r="F350" i="6"/>
  <c r="G349" i="6"/>
  <c r="F349" i="6"/>
  <c r="J349" i="6" s="1"/>
  <c r="G348" i="6"/>
  <c r="F348" i="6"/>
  <c r="G347" i="6"/>
  <c r="F347" i="6"/>
  <c r="J347" i="6" s="1"/>
  <c r="J346" i="6"/>
  <c r="G346" i="6"/>
  <c r="F346" i="6"/>
  <c r="G345" i="6"/>
  <c r="F345" i="6"/>
  <c r="J345" i="6" s="1"/>
  <c r="G344" i="6"/>
  <c r="F344" i="6"/>
  <c r="J344" i="6" s="1"/>
  <c r="J343" i="6"/>
  <c r="G343" i="6"/>
  <c r="F343" i="6"/>
  <c r="J342" i="6"/>
  <c r="G342" i="6"/>
  <c r="F342" i="6"/>
  <c r="G341" i="6"/>
  <c r="F341" i="6"/>
  <c r="J341" i="6" s="1"/>
  <c r="G340" i="6"/>
  <c r="F340" i="6"/>
  <c r="J340" i="6" s="1"/>
  <c r="G339" i="6"/>
  <c r="J339" i="6" s="1"/>
  <c r="F339" i="6"/>
  <c r="J338" i="6"/>
  <c r="G338" i="6"/>
  <c r="F338" i="6"/>
  <c r="G337" i="6"/>
  <c r="F337" i="6"/>
  <c r="J337" i="6" s="1"/>
  <c r="G336" i="6"/>
  <c r="F336" i="6"/>
  <c r="J336" i="6" s="1"/>
  <c r="G335" i="6"/>
  <c r="F335" i="6"/>
  <c r="J335" i="6" s="1"/>
  <c r="J334" i="6"/>
  <c r="G334" i="6"/>
  <c r="F334" i="6"/>
  <c r="G333" i="6"/>
  <c r="F333" i="6"/>
  <c r="J333" i="6" s="1"/>
  <c r="G332" i="6"/>
  <c r="F332" i="6"/>
  <c r="J332" i="6" s="1"/>
  <c r="G331" i="6"/>
  <c r="F331" i="6"/>
  <c r="J331" i="6" s="1"/>
  <c r="J330" i="6"/>
  <c r="G330" i="6"/>
  <c r="F330" i="6"/>
  <c r="G329" i="6"/>
  <c r="F329" i="6"/>
  <c r="J329" i="6" s="1"/>
  <c r="G328" i="6"/>
  <c r="F328" i="6"/>
  <c r="J328" i="6" s="1"/>
  <c r="G327" i="6"/>
  <c r="F327" i="6"/>
  <c r="J327" i="6" s="1"/>
  <c r="J326" i="6"/>
  <c r="G326" i="6"/>
  <c r="F326" i="6"/>
  <c r="G325" i="6"/>
  <c r="F325" i="6"/>
  <c r="J325" i="6" s="1"/>
  <c r="G324" i="6"/>
  <c r="F324" i="6"/>
  <c r="G323" i="6"/>
  <c r="F323" i="6"/>
  <c r="J323" i="6" s="1"/>
  <c r="J322" i="6"/>
  <c r="G322" i="6"/>
  <c r="F322" i="6"/>
  <c r="G321" i="6"/>
  <c r="F321" i="6"/>
  <c r="J321" i="6" s="1"/>
  <c r="G320" i="6"/>
  <c r="F320" i="6"/>
  <c r="J320" i="6" s="1"/>
  <c r="J319" i="6"/>
  <c r="G319" i="6"/>
  <c r="F319" i="6"/>
  <c r="J318" i="6"/>
  <c r="G318" i="6"/>
  <c r="F318" i="6"/>
  <c r="G317" i="6"/>
  <c r="F317" i="6"/>
  <c r="J317" i="6" s="1"/>
  <c r="G316" i="6"/>
  <c r="F316" i="6"/>
  <c r="J316" i="6" s="1"/>
  <c r="G315" i="6"/>
  <c r="J315" i="6" s="1"/>
  <c r="F315" i="6"/>
  <c r="J314" i="6"/>
  <c r="G314" i="6"/>
  <c r="F314" i="6"/>
  <c r="G313" i="6"/>
  <c r="F313" i="6"/>
  <c r="J313" i="6" s="1"/>
  <c r="G312" i="6"/>
  <c r="F312" i="6"/>
  <c r="J312" i="6" s="1"/>
  <c r="G311" i="6"/>
  <c r="F311" i="6"/>
  <c r="J311" i="6" s="1"/>
  <c r="J310" i="6"/>
  <c r="G310" i="6"/>
  <c r="F310" i="6"/>
  <c r="G309" i="6"/>
  <c r="F309" i="6"/>
  <c r="J309" i="6" s="1"/>
  <c r="G308" i="6"/>
  <c r="F308" i="6"/>
  <c r="J308" i="6" s="1"/>
  <c r="G307" i="6"/>
  <c r="F307" i="6"/>
  <c r="J307" i="6" s="1"/>
  <c r="J306" i="6"/>
  <c r="G306" i="6"/>
  <c r="F306" i="6"/>
  <c r="G305" i="6"/>
  <c r="F305" i="6"/>
  <c r="J305" i="6" s="1"/>
  <c r="G304" i="6"/>
  <c r="F304" i="6"/>
  <c r="J304" i="6" s="1"/>
  <c r="G303" i="6"/>
  <c r="F303" i="6"/>
  <c r="J303" i="6" s="1"/>
  <c r="J302" i="6"/>
  <c r="G302" i="6"/>
  <c r="F302" i="6"/>
  <c r="G301" i="6"/>
  <c r="F301" i="6"/>
  <c r="J301" i="6" s="1"/>
  <c r="G300" i="6"/>
  <c r="F300" i="6"/>
  <c r="G299" i="6"/>
  <c r="F299" i="6"/>
  <c r="J299" i="6" s="1"/>
  <c r="J298" i="6"/>
  <c r="G298" i="6"/>
  <c r="F298" i="6"/>
  <c r="G297" i="6"/>
  <c r="F297" i="6"/>
  <c r="J297" i="6" s="1"/>
  <c r="G296" i="6"/>
  <c r="F296" i="6"/>
  <c r="J296" i="6" s="1"/>
  <c r="J295" i="6"/>
  <c r="G295" i="6"/>
  <c r="F295" i="6"/>
  <c r="J294" i="6"/>
  <c r="G294" i="6"/>
  <c r="F294" i="6"/>
  <c r="G293" i="6"/>
  <c r="F293" i="6"/>
  <c r="J293" i="6" s="1"/>
  <c r="G292" i="6"/>
  <c r="F292" i="6"/>
  <c r="J292" i="6" s="1"/>
  <c r="G291" i="6"/>
  <c r="J291" i="6" s="1"/>
  <c r="F291" i="6"/>
  <c r="J290" i="6"/>
  <c r="G290" i="6"/>
  <c r="F290" i="6"/>
  <c r="G289" i="6"/>
  <c r="F289" i="6"/>
  <c r="J289" i="6" s="1"/>
  <c r="G288" i="6"/>
  <c r="F288" i="6"/>
  <c r="J288" i="6" s="1"/>
  <c r="G287" i="6"/>
  <c r="F287" i="6"/>
  <c r="J287" i="6" s="1"/>
  <c r="J286" i="6"/>
  <c r="G286" i="6"/>
  <c r="F286" i="6"/>
  <c r="G285" i="6"/>
  <c r="F285" i="6"/>
  <c r="J285" i="6" s="1"/>
  <c r="G284" i="6"/>
  <c r="F284" i="6"/>
  <c r="J284" i="6" s="1"/>
  <c r="G283" i="6"/>
  <c r="F283" i="6"/>
  <c r="J283" i="6" s="1"/>
  <c r="J282" i="6"/>
  <c r="G282" i="6"/>
  <c r="F282" i="6"/>
  <c r="G281" i="6"/>
  <c r="F281" i="6"/>
  <c r="J281" i="6" s="1"/>
  <c r="G280" i="6"/>
  <c r="F280" i="6"/>
  <c r="J280" i="6" s="1"/>
  <c r="G279" i="6"/>
  <c r="F279" i="6"/>
  <c r="J279" i="6" s="1"/>
  <c r="J278" i="6"/>
  <c r="G278" i="6"/>
  <c r="F278" i="6"/>
  <c r="G277" i="6"/>
  <c r="F277" i="6"/>
  <c r="J277" i="6" s="1"/>
  <c r="G276" i="6"/>
  <c r="F276" i="6"/>
  <c r="G275" i="6"/>
  <c r="F275" i="6"/>
  <c r="J275" i="6" s="1"/>
  <c r="J274" i="6"/>
  <c r="G274" i="6"/>
  <c r="F274" i="6"/>
  <c r="G273" i="6"/>
  <c r="F273" i="6"/>
  <c r="J273" i="6" s="1"/>
  <c r="G272" i="6"/>
  <c r="F272" i="6"/>
  <c r="J272" i="6" s="1"/>
  <c r="J271" i="6"/>
  <c r="G271" i="6"/>
  <c r="F271" i="6"/>
  <c r="J270" i="6"/>
  <c r="G270" i="6"/>
  <c r="F270" i="6"/>
  <c r="G269" i="6"/>
  <c r="F269" i="6"/>
  <c r="J269" i="6" s="1"/>
  <c r="G268" i="6"/>
  <c r="F268" i="6"/>
  <c r="J268" i="6" s="1"/>
  <c r="G267" i="6"/>
  <c r="J267" i="6" s="1"/>
  <c r="F267" i="6"/>
  <c r="J266" i="6"/>
  <c r="G266" i="6"/>
  <c r="F266" i="6"/>
  <c r="G265" i="6"/>
  <c r="F265" i="6"/>
  <c r="J265" i="6" s="1"/>
  <c r="G264" i="6"/>
  <c r="F264" i="6"/>
  <c r="J264" i="6" s="1"/>
  <c r="G263" i="6"/>
  <c r="F263" i="6"/>
  <c r="J263" i="6" s="1"/>
  <c r="J262" i="6"/>
  <c r="G262" i="6"/>
  <c r="F262" i="6"/>
  <c r="G261" i="6"/>
  <c r="F261" i="6"/>
  <c r="J261" i="6" s="1"/>
  <c r="G260" i="6"/>
  <c r="F260" i="6"/>
  <c r="J260" i="6" s="1"/>
  <c r="G259" i="6"/>
  <c r="F259" i="6"/>
  <c r="J259" i="6" s="1"/>
  <c r="J258" i="6"/>
  <c r="G258" i="6"/>
  <c r="F258" i="6"/>
  <c r="G257" i="6"/>
  <c r="F257" i="6"/>
  <c r="J257" i="6" s="1"/>
  <c r="G256" i="6"/>
  <c r="F256" i="6"/>
  <c r="J256" i="6" s="1"/>
  <c r="G255" i="6"/>
  <c r="F255" i="6"/>
  <c r="J255" i="6" s="1"/>
  <c r="J254" i="6"/>
  <c r="G254" i="6"/>
  <c r="F254" i="6"/>
  <c r="G253" i="6"/>
  <c r="F253" i="6"/>
  <c r="J253" i="6" s="1"/>
  <c r="G252" i="6"/>
  <c r="F252" i="6"/>
  <c r="G251" i="6"/>
  <c r="F251" i="6"/>
  <c r="J251" i="6" s="1"/>
  <c r="J250" i="6"/>
  <c r="G250" i="6"/>
  <c r="F250" i="6"/>
  <c r="G249" i="6"/>
  <c r="F249" i="6"/>
  <c r="J249" i="6" s="1"/>
  <c r="G248" i="6"/>
  <c r="F248" i="6"/>
  <c r="J248" i="6" s="1"/>
  <c r="J247" i="6"/>
  <c r="G247" i="6"/>
  <c r="F247" i="6"/>
  <c r="J246" i="6"/>
  <c r="G246" i="6"/>
  <c r="F246" i="6"/>
  <c r="G245" i="6"/>
  <c r="F245" i="6"/>
  <c r="J245" i="6" s="1"/>
  <c r="G244" i="6"/>
  <c r="F244" i="6"/>
  <c r="J244" i="6" s="1"/>
  <c r="G243" i="6"/>
  <c r="J243" i="6" s="1"/>
  <c r="F243" i="6"/>
  <c r="J242" i="6"/>
  <c r="G242" i="6"/>
  <c r="F242" i="6"/>
  <c r="G241" i="6"/>
  <c r="F241" i="6"/>
  <c r="J241" i="6" s="1"/>
  <c r="G240" i="6"/>
  <c r="F240" i="6"/>
  <c r="J240" i="6" s="1"/>
  <c r="G239" i="6"/>
  <c r="F239" i="6"/>
  <c r="J239" i="6" s="1"/>
  <c r="J238" i="6"/>
  <c r="G238" i="6"/>
  <c r="F238" i="6"/>
  <c r="G237" i="6"/>
  <c r="F237" i="6"/>
  <c r="J237" i="6" s="1"/>
  <c r="G236" i="6"/>
  <c r="F236" i="6"/>
  <c r="J236" i="6" s="1"/>
  <c r="G235" i="6"/>
  <c r="F235" i="6"/>
  <c r="J235" i="6" s="1"/>
  <c r="J234" i="6"/>
  <c r="G234" i="6"/>
  <c r="F234" i="6"/>
  <c r="G233" i="6"/>
  <c r="F233" i="6"/>
  <c r="J233" i="6" s="1"/>
  <c r="G232" i="6"/>
  <c r="F232" i="6"/>
  <c r="J232" i="6" s="1"/>
  <c r="G231" i="6"/>
  <c r="F231" i="6"/>
  <c r="J231" i="6" s="1"/>
  <c r="J230" i="6"/>
  <c r="G230" i="6"/>
  <c r="F230" i="6"/>
  <c r="G229" i="6"/>
  <c r="F229" i="6"/>
  <c r="J229" i="6" s="1"/>
  <c r="J228" i="6"/>
  <c r="G228" i="6"/>
  <c r="F228" i="6"/>
  <c r="G227" i="6"/>
  <c r="F227" i="6"/>
  <c r="J227" i="6" s="1"/>
  <c r="J226" i="6"/>
  <c r="G226" i="6"/>
  <c r="F226" i="6"/>
  <c r="G225" i="6"/>
  <c r="F225" i="6"/>
  <c r="J225" i="6" s="1"/>
  <c r="G224" i="6"/>
  <c r="F224" i="6"/>
  <c r="G223" i="6"/>
  <c r="F223" i="6"/>
  <c r="J223" i="6" s="1"/>
  <c r="J222" i="6"/>
  <c r="G222" i="6"/>
  <c r="F222" i="6"/>
  <c r="G221" i="6"/>
  <c r="F221" i="6"/>
  <c r="J221" i="6" s="1"/>
  <c r="G220" i="6"/>
  <c r="F220" i="6"/>
  <c r="J220" i="6" s="1"/>
  <c r="J219" i="6"/>
  <c r="G219" i="6"/>
  <c r="F219" i="6"/>
  <c r="J218" i="6"/>
  <c r="G218" i="6"/>
  <c r="F218" i="6"/>
  <c r="G217" i="6"/>
  <c r="F217" i="6"/>
  <c r="J217" i="6" s="1"/>
  <c r="G216" i="6"/>
  <c r="F216" i="6"/>
  <c r="J216" i="6" s="1"/>
  <c r="J215" i="6"/>
  <c r="G215" i="6"/>
  <c r="F215" i="6"/>
  <c r="J214" i="6"/>
  <c r="G214" i="6"/>
  <c r="F214" i="6"/>
  <c r="G213" i="6"/>
  <c r="F213" i="6"/>
  <c r="J213" i="6" s="1"/>
  <c r="G212" i="6"/>
  <c r="F212" i="6"/>
  <c r="J212" i="6" s="1"/>
  <c r="G211" i="6"/>
  <c r="J211" i="6" s="1"/>
  <c r="F211" i="6"/>
  <c r="J210" i="6"/>
  <c r="G210" i="6"/>
  <c r="F210" i="6"/>
  <c r="G209" i="6"/>
  <c r="F209" i="6"/>
  <c r="J209" i="6" s="1"/>
  <c r="G208" i="6"/>
  <c r="F208" i="6"/>
  <c r="J208" i="6" s="1"/>
  <c r="G207" i="6"/>
  <c r="F207" i="6"/>
  <c r="J207" i="6" s="1"/>
  <c r="J206" i="6"/>
  <c r="G206" i="6"/>
  <c r="F206" i="6"/>
  <c r="G205" i="6"/>
  <c r="F205" i="6"/>
  <c r="J205" i="6" s="1"/>
  <c r="G204" i="6"/>
  <c r="F204" i="6"/>
  <c r="J204" i="6" s="1"/>
  <c r="G203" i="6"/>
  <c r="F203" i="6"/>
  <c r="J203" i="6" s="1"/>
  <c r="J202" i="6"/>
  <c r="G202" i="6"/>
  <c r="F202" i="6"/>
  <c r="G201" i="6"/>
  <c r="F201" i="6"/>
  <c r="J201" i="6" s="1"/>
  <c r="G200" i="6"/>
  <c r="F200" i="6"/>
  <c r="J200" i="6" s="1"/>
  <c r="G199" i="6"/>
  <c r="F199" i="6"/>
  <c r="J199" i="6" s="1"/>
  <c r="J198" i="6"/>
  <c r="G198" i="6"/>
  <c r="F198" i="6"/>
  <c r="G197" i="6"/>
  <c r="F197" i="6"/>
  <c r="J197" i="6" s="1"/>
  <c r="G196" i="6"/>
  <c r="F196" i="6"/>
  <c r="J196" i="6" s="1"/>
  <c r="G195" i="6"/>
  <c r="F195" i="6"/>
  <c r="J195" i="6" s="1"/>
  <c r="J194" i="6"/>
  <c r="G194" i="6"/>
  <c r="F194" i="6"/>
  <c r="G193" i="6"/>
  <c r="F193" i="6"/>
  <c r="J193" i="6" s="1"/>
  <c r="G192" i="6"/>
  <c r="F192" i="6"/>
  <c r="J192" i="6" s="1"/>
  <c r="G191" i="6"/>
  <c r="F191" i="6"/>
  <c r="J191" i="6" s="1"/>
  <c r="J190" i="6"/>
  <c r="G190" i="6"/>
  <c r="F190" i="6"/>
  <c r="G189" i="6"/>
  <c r="F189" i="6"/>
  <c r="J189" i="6" s="1"/>
  <c r="G188" i="6"/>
  <c r="F188" i="6"/>
  <c r="J188" i="6" s="1"/>
  <c r="G187" i="6"/>
  <c r="F187" i="6"/>
  <c r="J187" i="6" s="1"/>
  <c r="J186" i="6"/>
  <c r="G186" i="6"/>
  <c r="F186" i="6"/>
  <c r="G185" i="6"/>
  <c r="F185" i="6"/>
  <c r="J185" i="6" s="1"/>
  <c r="J184" i="6"/>
  <c r="G184" i="6"/>
  <c r="F184" i="6"/>
  <c r="G183" i="6"/>
  <c r="F183" i="6"/>
  <c r="J183" i="6" s="1"/>
  <c r="J182" i="6"/>
  <c r="G182" i="6"/>
  <c r="F182" i="6"/>
  <c r="G181" i="6"/>
  <c r="F181" i="6"/>
  <c r="J181" i="6" s="1"/>
  <c r="J180" i="6"/>
  <c r="G180" i="6"/>
  <c r="F180" i="6"/>
  <c r="G179" i="6"/>
  <c r="F179" i="6"/>
  <c r="J179" i="6" s="1"/>
  <c r="J178" i="6"/>
  <c r="G178" i="6"/>
  <c r="F178" i="6"/>
  <c r="G177" i="6"/>
  <c r="F177" i="6"/>
  <c r="J177" i="6" s="1"/>
  <c r="G176" i="6"/>
  <c r="J176" i="6" s="1"/>
  <c r="F176" i="6"/>
  <c r="G175" i="6"/>
  <c r="F175" i="6"/>
  <c r="J175" i="6" s="1"/>
  <c r="J174" i="6"/>
  <c r="G174" i="6"/>
  <c r="F174" i="6"/>
  <c r="G173" i="6"/>
  <c r="F173" i="6"/>
  <c r="J173" i="6" s="1"/>
  <c r="G172" i="6"/>
  <c r="F172" i="6"/>
  <c r="J172" i="6" s="1"/>
  <c r="J171" i="6"/>
  <c r="G171" i="6"/>
  <c r="F171" i="6"/>
  <c r="J170" i="6"/>
  <c r="G170" i="6"/>
  <c r="F170" i="6"/>
  <c r="G169" i="6"/>
  <c r="F169" i="6"/>
  <c r="J169" i="6" s="1"/>
  <c r="G168" i="6"/>
  <c r="F168" i="6"/>
  <c r="J168" i="6" s="1"/>
  <c r="J167" i="6"/>
  <c r="G167" i="6"/>
  <c r="F167" i="6"/>
  <c r="J166" i="6"/>
  <c r="G166" i="6"/>
  <c r="F166" i="6"/>
  <c r="G165" i="6"/>
  <c r="F165" i="6"/>
  <c r="J165" i="6" s="1"/>
  <c r="G164" i="6"/>
  <c r="F164" i="6"/>
  <c r="J164" i="6" s="1"/>
  <c r="G163" i="6"/>
  <c r="J163" i="6" s="1"/>
  <c r="F163" i="6"/>
  <c r="J162" i="6"/>
  <c r="G162" i="6"/>
  <c r="F162" i="6"/>
  <c r="G161" i="6"/>
  <c r="F161" i="6"/>
  <c r="J161" i="6" s="1"/>
  <c r="G160" i="6"/>
  <c r="F160" i="6"/>
  <c r="J160" i="6" s="1"/>
  <c r="G159" i="6"/>
  <c r="F159" i="6"/>
  <c r="J159" i="6" s="1"/>
  <c r="J158" i="6"/>
  <c r="G158" i="6"/>
  <c r="F158" i="6"/>
  <c r="G157" i="6"/>
  <c r="F157" i="6"/>
  <c r="J157" i="6" s="1"/>
  <c r="G156" i="6"/>
  <c r="F156" i="6"/>
  <c r="J156" i="6" s="1"/>
  <c r="G155" i="6"/>
  <c r="F155" i="6"/>
  <c r="J155" i="6" s="1"/>
  <c r="J154" i="6"/>
  <c r="G154" i="6"/>
  <c r="F154" i="6"/>
  <c r="G153" i="6"/>
  <c r="F153" i="6"/>
  <c r="J153" i="6" s="1"/>
  <c r="G152" i="6"/>
  <c r="F152" i="6"/>
  <c r="J152" i="6" s="1"/>
  <c r="G151" i="6"/>
  <c r="F151" i="6"/>
  <c r="J151" i="6" s="1"/>
  <c r="J150" i="6"/>
  <c r="G150" i="6"/>
  <c r="F150" i="6"/>
  <c r="G149" i="6"/>
  <c r="F149" i="6"/>
  <c r="J149" i="6" s="1"/>
  <c r="G148" i="6"/>
  <c r="F148" i="6"/>
  <c r="J148" i="6" s="1"/>
  <c r="G147" i="6"/>
  <c r="F147" i="6"/>
  <c r="J147" i="6" s="1"/>
  <c r="J146" i="6"/>
  <c r="G146" i="6"/>
  <c r="F146" i="6"/>
  <c r="G145" i="6"/>
  <c r="F145" i="6"/>
  <c r="J145" i="6" s="1"/>
  <c r="G144" i="6"/>
  <c r="F144" i="6"/>
  <c r="J144" i="6" s="1"/>
  <c r="G143" i="6"/>
  <c r="F143" i="6"/>
  <c r="J143" i="6" s="1"/>
  <c r="J142" i="6"/>
  <c r="G142" i="6"/>
  <c r="F142" i="6"/>
  <c r="G141" i="6"/>
  <c r="F141" i="6"/>
  <c r="J141" i="6" s="1"/>
  <c r="G140" i="6"/>
  <c r="F140" i="6"/>
  <c r="J140" i="6" s="1"/>
  <c r="G139" i="6"/>
  <c r="F139" i="6"/>
  <c r="J139" i="6" s="1"/>
  <c r="J138" i="6"/>
  <c r="G138" i="6"/>
  <c r="F138" i="6"/>
  <c r="G137" i="6"/>
  <c r="F137" i="6"/>
  <c r="J137" i="6" s="1"/>
  <c r="J136" i="6"/>
  <c r="G136" i="6"/>
  <c r="F136" i="6"/>
  <c r="G135" i="6"/>
  <c r="F135" i="6"/>
  <c r="J135" i="6" s="1"/>
  <c r="J134" i="6"/>
  <c r="G134" i="6"/>
  <c r="F134" i="6"/>
  <c r="G133" i="6"/>
  <c r="F133" i="6"/>
  <c r="J133" i="6" s="1"/>
  <c r="J132" i="6"/>
  <c r="G132" i="6"/>
  <c r="F132" i="6"/>
  <c r="G131" i="6"/>
  <c r="F131" i="6"/>
  <c r="J131" i="6" s="1"/>
  <c r="J130" i="6"/>
  <c r="G130" i="6"/>
  <c r="F130" i="6"/>
  <c r="G129" i="6"/>
  <c r="F129" i="6"/>
  <c r="J129" i="6" s="1"/>
  <c r="G128" i="6"/>
  <c r="J128" i="6" s="1"/>
  <c r="F128" i="6"/>
  <c r="G127" i="6"/>
  <c r="F127" i="6"/>
  <c r="J127" i="6" s="1"/>
  <c r="J126" i="6"/>
  <c r="G126" i="6"/>
  <c r="F126" i="6"/>
  <c r="G125" i="6"/>
  <c r="F125" i="6"/>
  <c r="J125" i="6" s="1"/>
  <c r="G124" i="6"/>
  <c r="F124" i="6"/>
  <c r="J124" i="6" s="1"/>
  <c r="J123" i="6"/>
  <c r="G123" i="6"/>
  <c r="F123" i="6"/>
  <c r="J122" i="6"/>
  <c r="G122" i="6"/>
  <c r="F122" i="6"/>
  <c r="G121" i="6"/>
  <c r="F121" i="6"/>
  <c r="J121" i="6" s="1"/>
  <c r="G120" i="6"/>
  <c r="F120" i="6"/>
  <c r="J120" i="6" s="1"/>
  <c r="J119" i="6"/>
  <c r="G119" i="6"/>
  <c r="F119" i="6"/>
  <c r="J118" i="6"/>
  <c r="G118" i="6"/>
  <c r="F118" i="6"/>
  <c r="G117" i="6"/>
  <c r="F117" i="6"/>
  <c r="J117" i="6" s="1"/>
  <c r="G116" i="6"/>
  <c r="F116" i="6"/>
  <c r="J116" i="6" s="1"/>
  <c r="G115" i="6"/>
  <c r="J115" i="6" s="1"/>
  <c r="F115" i="6"/>
  <c r="J114" i="6"/>
  <c r="G114" i="6"/>
  <c r="F114" i="6"/>
  <c r="G113" i="6"/>
  <c r="F113" i="6"/>
  <c r="J113" i="6" s="1"/>
  <c r="G112" i="6"/>
  <c r="F112" i="6"/>
  <c r="J112" i="6" s="1"/>
  <c r="G111" i="6"/>
  <c r="F111" i="6"/>
  <c r="J111" i="6" s="1"/>
  <c r="J110" i="6"/>
  <c r="G110" i="6"/>
  <c r="F110" i="6"/>
  <c r="G109" i="6"/>
  <c r="F109" i="6"/>
  <c r="J109" i="6" s="1"/>
  <c r="G108" i="6"/>
  <c r="F108" i="6"/>
  <c r="J108" i="6" s="1"/>
  <c r="G107" i="6"/>
  <c r="F107" i="6"/>
  <c r="J107" i="6" s="1"/>
  <c r="J106" i="6"/>
  <c r="G106" i="6"/>
  <c r="F106" i="6"/>
  <c r="G105" i="6"/>
  <c r="F105" i="6"/>
  <c r="J105" i="6" s="1"/>
  <c r="G104" i="6"/>
  <c r="F104" i="6"/>
  <c r="J104" i="6" s="1"/>
  <c r="G103" i="6"/>
  <c r="F103" i="6"/>
  <c r="J103" i="6" s="1"/>
  <c r="J102" i="6"/>
  <c r="G102" i="6"/>
  <c r="F102" i="6"/>
  <c r="G101" i="6"/>
  <c r="F101" i="6"/>
  <c r="J101" i="6" s="1"/>
  <c r="G100" i="6"/>
  <c r="F100" i="6"/>
  <c r="J100" i="6" s="1"/>
  <c r="G99" i="6"/>
  <c r="F99" i="6"/>
  <c r="J99" i="6" s="1"/>
  <c r="J98" i="6"/>
  <c r="G98" i="6"/>
  <c r="F98" i="6"/>
  <c r="G97" i="6"/>
  <c r="F97" i="6"/>
  <c r="J97" i="6" s="1"/>
  <c r="G96" i="6"/>
  <c r="F96" i="6"/>
  <c r="J96" i="6" s="1"/>
  <c r="G95" i="6"/>
  <c r="F95" i="6"/>
  <c r="J95" i="6" s="1"/>
  <c r="J94" i="6"/>
  <c r="G94" i="6"/>
  <c r="F94" i="6"/>
  <c r="G93" i="6"/>
  <c r="F93" i="6"/>
  <c r="J93" i="6" s="1"/>
  <c r="G92" i="6"/>
  <c r="F92" i="6"/>
  <c r="J92" i="6" s="1"/>
  <c r="G91" i="6"/>
  <c r="F91" i="6"/>
  <c r="J91" i="6" s="1"/>
  <c r="J90" i="6"/>
  <c r="G90" i="6"/>
  <c r="F90" i="6"/>
  <c r="G89" i="6"/>
  <c r="F89" i="6"/>
  <c r="J89" i="6" s="1"/>
  <c r="J88" i="6"/>
  <c r="G88" i="6"/>
  <c r="F88" i="6"/>
  <c r="G87" i="6"/>
  <c r="F87" i="6"/>
  <c r="J87" i="6" s="1"/>
  <c r="J86" i="6"/>
  <c r="G86" i="6"/>
  <c r="F86" i="6"/>
  <c r="G85" i="6"/>
  <c r="F85" i="6"/>
  <c r="J85" i="6" s="1"/>
  <c r="J84" i="6"/>
  <c r="G84" i="6"/>
  <c r="F84" i="6"/>
  <c r="G83" i="6"/>
  <c r="F83" i="6"/>
  <c r="J83" i="6" s="1"/>
  <c r="J82" i="6"/>
  <c r="G82" i="6"/>
  <c r="F82" i="6"/>
  <c r="G81" i="6"/>
  <c r="F81" i="6"/>
  <c r="J81" i="6" s="1"/>
  <c r="G80" i="6"/>
  <c r="J80" i="6" s="1"/>
  <c r="F80" i="6"/>
  <c r="G79" i="6"/>
  <c r="F79" i="6"/>
  <c r="J79" i="6" s="1"/>
  <c r="J78" i="6"/>
  <c r="G78" i="6"/>
  <c r="F78" i="6"/>
  <c r="G77" i="6"/>
  <c r="F77" i="6"/>
  <c r="J77" i="6" s="1"/>
  <c r="G76" i="6"/>
  <c r="F76" i="6"/>
  <c r="J76" i="6" s="1"/>
  <c r="J75" i="6"/>
  <c r="G75" i="6"/>
  <c r="F75" i="6"/>
  <c r="J74" i="6"/>
  <c r="G74" i="6"/>
  <c r="F74" i="6"/>
  <c r="G73" i="6"/>
  <c r="F73" i="6"/>
  <c r="J73" i="6" s="1"/>
  <c r="G72" i="6"/>
  <c r="F72" i="6"/>
  <c r="G71" i="6"/>
  <c r="F71" i="6"/>
  <c r="J71" i="6" s="1"/>
  <c r="G70" i="6"/>
  <c r="F70" i="6"/>
  <c r="J70" i="6" s="1"/>
  <c r="G69" i="6"/>
  <c r="F69" i="6"/>
  <c r="J69" i="6" s="1"/>
  <c r="G68" i="6"/>
  <c r="F68" i="6"/>
  <c r="J68" i="6" s="1"/>
  <c r="G67" i="6"/>
  <c r="J67" i="6" s="1"/>
  <c r="F67" i="6"/>
  <c r="G66" i="6"/>
  <c r="F66" i="6"/>
  <c r="J66" i="6" s="1"/>
  <c r="G65" i="6"/>
  <c r="F65" i="6"/>
  <c r="J65" i="6" s="1"/>
  <c r="G64" i="6"/>
  <c r="F64" i="6"/>
  <c r="J64" i="6" s="1"/>
  <c r="G63" i="6"/>
  <c r="F63" i="6"/>
  <c r="J63" i="6" s="1"/>
  <c r="J62" i="6"/>
  <c r="G62" i="6"/>
  <c r="F62" i="6"/>
  <c r="G61" i="6"/>
  <c r="F61" i="6"/>
  <c r="J61" i="6" s="1"/>
  <c r="G60" i="6"/>
  <c r="F60" i="6"/>
  <c r="J60" i="6" s="1"/>
  <c r="G59" i="6"/>
  <c r="F59" i="6"/>
  <c r="J59" i="6" s="1"/>
  <c r="G58" i="6"/>
  <c r="F58" i="6"/>
  <c r="J58" i="6" s="1"/>
  <c r="G57" i="6"/>
  <c r="F57" i="6"/>
  <c r="G56" i="6"/>
  <c r="F56" i="6"/>
  <c r="J56" i="6" s="1"/>
  <c r="G55" i="6"/>
  <c r="F55" i="6"/>
  <c r="J55" i="6" s="1"/>
  <c r="G54" i="6"/>
  <c r="F54" i="6"/>
  <c r="J54" i="6" s="1"/>
  <c r="G53" i="6"/>
  <c r="F53" i="6"/>
  <c r="J53" i="6" s="1"/>
  <c r="G52" i="6"/>
  <c r="F52" i="6"/>
  <c r="J52" i="6" s="1"/>
  <c r="G51" i="6"/>
  <c r="F51" i="6"/>
  <c r="G50" i="6"/>
  <c r="F50" i="6"/>
  <c r="J50" i="6" s="1"/>
  <c r="G49" i="6"/>
  <c r="F49" i="6"/>
  <c r="J49" i="6" s="1"/>
  <c r="G48" i="6"/>
  <c r="F48" i="6"/>
  <c r="J48" i="6" s="1"/>
  <c r="G47" i="6"/>
  <c r="F47" i="6"/>
  <c r="J47" i="6" s="1"/>
  <c r="J46" i="6"/>
  <c r="G46" i="6"/>
  <c r="F46" i="6"/>
  <c r="G45" i="6"/>
  <c r="F45" i="6"/>
  <c r="J45" i="6" s="1"/>
  <c r="G44" i="6"/>
  <c r="F44" i="6"/>
  <c r="J44" i="6" s="1"/>
  <c r="G43" i="6"/>
  <c r="F43" i="6"/>
  <c r="J43" i="6" s="1"/>
  <c r="G42" i="6"/>
  <c r="F42" i="6"/>
  <c r="J42" i="6" s="1"/>
  <c r="G41" i="6"/>
  <c r="F41" i="6"/>
  <c r="G40" i="6"/>
  <c r="F40" i="6"/>
  <c r="J40" i="6" s="1"/>
  <c r="G39" i="6"/>
  <c r="F39" i="6"/>
  <c r="J39" i="6" s="1"/>
  <c r="G38" i="6"/>
  <c r="F38" i="6"/>
  <c r="J38" i="6" s="1"/>
  <c r="G37" i="6"/>
  <c r="F37" i="6"/>
  <c r="J37" i="6" s="1"/>
  <c r="J36" i="6"/>
  <c r="G36" i="6"/>
  <c r="F36" i="6"/>
  <c r="G35" i="6"/>
  <c r="F35" i="6"/>
  <c r="J35" i="6" s="1"/>
  <c r="G34" i="6"/>
  <c r="F34" i="6"/>
  <c r="J34" i="6" s="1"/>
  <c r="G33" i="6"/>
  <c r="F33" i="6"/>
  <c r="J33" i="6" s="1"/>
  <c r="G32" i="6"/>
  <c r="F32" i="6"/>
  <c r="G31" i="6"/>
  <c r="F31" i="6"/>
  <c r="G30" i="6"/>
  <c r="F30" i="6"/>
  <c r="J30" i="6" s="1"/>
  <c r="G29" i="6"/>
  <c r="F29" i="6"/>
  <c r="J29" i="6" s="1"/>
  <c r="G28" i="6"/>
  <c r="F28" i="6"/>
  <c r="J28" i="6" s="1"/>
  <c r="G27" i="6"/>
  <c r="F27" i="6"/>
  <c r="J27" i="6" s="1"/>
  <c r="J26" i="6"/>
  <c r="G26" i="6"/>
  <c r="F26" i="6"/>
  <c r="G25" i="6"/>
  <c r="F25" i="6"/>
  <c r="J25" i="6" s="1"/>
  <c r="G24" i="6"/>
  <c r="F24" i="6"/>
  <c r="J24" i="6" s="1"/>
  <c r="G23" i="6"/>
  <c r="F23" i="6"/>
  <c r="J23" i="6" s="1"/>
  <c r="G22" i="6"/>
  <c r="F22" i="6"/>
  <c r="J22" i="6" s="1"/>
  <c r="G21" i="6"/>
  <c r="F21" i="6"/>
  <c r="G20" i="6"/>
  <c r="F20" i="6"/>
  <c r="J20" i="6" s="1"/>
  <c r="G19" i="6"/>
  <c r="F19" i="6"/>
  <c r="G18" i="6"/>
  <c r="F18" i="6"/>
  <c r="J18" i="6" s="1"/>
  <c r="G17" i="6"/>
  <c r="F17" i="6"/>
  <c r="J17" i="6" s="1"/>
  <c r="G16" i="6"/>
  <c r="F16" i="6"/>
  <c r="G15" i="6"/>
  <c r="F15" i="6"/>
  <c r="J15" i="6" s="1"/>
  <c r="G14" i="6"/>
  <c r="F14" i="6"/>
  <c r="J14" i="6" s="1"/>
  <c r="G13" i="6"/>
  <c r="F13" i="6"/>
  <c r="J13" i="6" s="1"/>
  <c r="G12" i="6"/>
  <c r="F12" i="6"/>
  <c r="J12" i="6" s="1"/>
  <c r="G11" i="6"/>
  <c r="F11" i="6"/>
  <c r="J11" i="6" s="1"/>
  <c r="J10" i="6"/>
  <c r="G10" i="6"/>
  <c r="F10" i="6"/>
  <c r="G9" i="6"/>
  <c r="F9" i="6"/>
  <c r="J9" i="6" s="1"/>
  <c r="G8" i="6"/>
  <c r="F8" i="6"/>
  <c r="J8" i="6" s="1"/>
  <c r="G7" i="6"/>
  <c r="F7" i="6"/>
  <c r="J7" i="6" s="1"/>
  <c r="G6" i="6"/>
  <c r="F6" i="6"/>
  <c r="J6" i="6" s="1"/>
  <c r="G5" i="6"/>
  <c r="F5" i="6"/>
  <c r="G4" i="6"/>
  <c r="F4" i="6"/>
  <c r="J4" i="6" s="1"/>
  <c r="G3" i="6"/>
  <c r="F3" i="6"/>
  <c r="J3" i="6" s="1"/>
  <c r="J32" i="6" l="1"/>
  <c r="J5" i="6"/>
  <c r="J21" i="6"/>
  <c r="J51" i="6"/>
  <c r="J72" i="6"/>
  <c r="J19" i="6"/>
  <c r="J16" i="6"/>
  <c r="J31" i="6"/>
  <c r="J41" i="6"/>
  <c r="J57" i="6"/>
  <c r="J452" i="6"/>
  <c r="J252" i="6"/>
  <c r="J276" i="6"/>
  <c r="J300" i="6"/>
  <c r="J324" i="6"/>
  <c r="J348" i="6"/>
  <c r="J372" i="6"/>
  <c r="J396" i="6"/>
  <c r="J420" i="6"/>
  <c r="J444" i="6"/>
  <c r="J224" i="6"/>
  <c r="G2" i="6" l="1"/>
  <c r="F2" i="6"/>
  <c r="J2" i="6" s="1"/>
  <c r="G39" i="4"/>
  <c r="E39" i="4"/>
  <c r="G38" i="4"/>
  <c r="E38" i="4"/>
  <c r="G37" i="4"/>
  <c r="E37" i="4"/>
  <c r="G36" i="4"/>
  <c r="E36" i="4"/>
  <c r="G35" i="4"/>
  <c r="E35" i="4"/>
  <c r="G34" i="4"/>
  <c r="E34" i="4"/>
  <c r="G33" i="4"/>
  <c r="E33" i="4"/>
  <c r="G32" i="4"/>
  <c r="E32" i="4"/>
  <c r="G31" i="4"/>
  <c r="E31" i="4"/>
  <c r="G30" i="4"/>
  <c r="E30" i="4"/>
  <c r="G29" i="4"/>
  <c r="E29" i="4"/>
  <c r="G28" i="4"/>
  <c r="E28" i="4"/>
  <c r="G27" i="4"/>
  <c r="E27" i="4"/>
  <c r="G26" i="4"/>
  <c r="E26" i="4"/>
  <c r="G25" i="4"/>
  <c r="E25" i="4"/>
  <c r="G24" i="4"/>
  <c r="E24" i="4"/>
  <c r="G23" i="4"/>
  <c r="E23" i="4"/>
  <c r="G22" i="4"/>
  <c r="E22" i="4"/>
  <c r="G21" i="4"/>
  <c r="E21" i="4"/>
  <c r="G20" i="4"/>
  <c r="E20" i="4"/>
  <c r="G19" i="4"/>
  <c r="E19" i="4"/>
  <c r="G18" i="4"/>
  <c r="E18" i="4"/>
  <c r="G17" i="4"/>
  <c r="E17" i="4"/>
  <c r="G16" i="4"/>
  <c r="E16" i="4"/>
  <c r="G15" i="4"/>
  <c r="E15" i="4"/>
  <c r="G14" i="4"/>
  <c r="E14" i="4"/>
  <c r="G13" i="4"/>
  <c r="E13" i="4"/>
  <c r="G12" i="4"/>
  <c r="E12" i="4"/>
  <c r="G11" i="4"/>
  <c r="E11" i="4"/>
  <c r="G10" i="4"/>
  <c r="E10" i="4"/>
  <c r="G9" i="4"/>
  <c r="E9" i="4"/>
  <c r="G8" i="4"/>
  <c r="E8" i="4"/>
  <c r="G7" i="4"/>
  <c r="E7" i="4"/>
  <c r="G6" i="4"/>
  <c r="E6" i="4"/>
  <c r="G5" i="4"/>
  <c r="E5" i="4"/>
  <c r="G4" i="4"/>
  <c r="E4" i="4"/>
  <c r="G3" i="4"/>
  <c r="E3" i="4"/>
  <c r="G2" i="4"/>
  <c r="E2" i="4"/>
  <c r="B41" i="2"/>
  <c r="I41" i="2" s="1"/>
  <c r="B42" i="2"/>
  <c r="I42" i="2" s="1"/>
  <c r="B40" i="2"/>
  <c r="I40" i="2" s="1"/>
  <c r="B39" i="2"/>
  <c r="I39" i="2" s="1"/>
  <c r="B38" i="2"/>
  <c r="I38" i="2" s="1"/>
  <c r="B37" i="2"/>
  <c r="I37" i="2" s="1"/>
  <c r="B36" i="2"/>
  <c r="I36" i="2" s="1"/>
  <c r="B35" i="2"/>
  <c r="I35" i="2" s="1"/>
  <c r="B34" i="2"/>
  <c r="I34" i="2" s="1"/>
  <c r="B33" i="2"/>
  <c r="I33" i="2" s="1"/>
  <c r="B32" i="2"/>
  <c r="I32" i="2" s="1"/>
  <c r="B31" i="2"/>
  <c r="I31" i="2" s="1"/>
  <c r="B30" i="2"/>
  <c r="I30" i="2" s="1"/>
  <c r="B29" i="2"/>
  <c r="I29" i="2" s="1"/>
  <c r="B28" i="2"/>
  <c r="I28" i="2" s="1"/>
  <c r="B27" i="2"/>
  <c r="I27" i="2" s="1"/>
  <c r="B26" i="2"/>
  <c r="I26" i="2" s="1"/>
  <c r="B25" i="2"/>
  <c r="I25" i="2" s="1"/>
</calcChain>
</file>

<file path=xl/sharedStrings.xml><?xml version="1.0" encoding="utf-8"?>
<sst xmlns="http://schemas.openxmlformats.org/spreadsheetml/2006/main" count="5119" uniqueCount="1345">
  <si>
    <t>PREENFRIO</t>
  </si>
  <si>
    <t>CP_CHI_NELLY</t>
  </si>
  <si>
    <t>CP_CHI_FORTALEZA</t>
  </si>
  <si>
    <t>REGION</t>
  </si>
  <si>
    <t>CHIAPAS</t>
  </si>
  <si>
    <t>OMAR ARAGON</t>
  </si>
  <si>
    <t>CRISTIAN CARBALLO</t>
  </si>
  <si>
    <t>SUPERVISOR</t>
  </si>
  <si>
    <t>LATITUD</t>
  </si>
  <si>
    <t>LONGITUD</t>
  </si>
  <si>
    <t>HUEHUETAN</t>
  </si>
  <si>
    <t>km. 7 carretera huehuetán-ejido nueva victoria, 30665 huehuetán, chis.</t>
  </si>
  <si>
    <t>MAZATAN</t>
  </si>
  <si>
    <t>Carretera Costera KM. 255 Mazatan, Chiapas C.P. 30650</t>
  </si>
  <si>
    <t>MUNICIPIO</t>
  </si>
  <si>
    <t>CP</t>
  </si>
  <si>
    <t>DIRECCION</t>
  </si>
  <si>
    <t>UBICACIÓN</t>
  </si>
  <si>
    <t>CAPACIDAD</t>
  </si>
  <si>
    <t>TARIMAS MAX CONSERVA</t>
  </si>
  <si>
    <t>TARIMAS MAX PREENFRIO</t>
  </si>
  <si>
    <t>CAJAS MAX EN CONSERVA</t>
  </si>
  <si>
    <t>CAJAS MAX EN PREENFRIO</t>
  </si>
  <si>
    <t>CEDIS</t>
  </si>
  <si>
    <t>RECHAZO</t>
  </si>
  <si>
    <t>LOCAL</t>
  </si>
  <si>
    <t>TARIMAS</t>
  </si>
  <si>
    <t>MATERIALES</t>
  </si>
  <si>
    <t>CHALCO</t>
  </si>
  <si>
    <t>CENTRAL DE ABASTO</t>
  </si>
  <si>
    <t>S-MART</t>
  </si>
  <si>
    <t>NUEVA WALMART</t>
  </si>
  <si>
    <t>CEDIS CHIHUAHUA</t>
  </si>
  <si>
    <t>JAPON</t>
  </si>
  <si>
    <t>CHANITOS INTERNATIONAL</t>
  </si>
  <si>
    <t>UNITED NATURAL FOODS, INC</t>
  </si>
  <si>
    <t>PATROCINIO</t>
  </si>
  <si>
    <t>SORIANA</t>
  </si>
  <si>
    <t>CHEDRAUI</t>
  </si>
  <si>
    <t>CENTRAL PLATANERA</t>
  </si>
  <si>
    <t>CIUDAD JUAREZ</t>
  </si>
  <si>
    <t>IZTAPALAPA</t>
  </si>
  <si>
    <t>CHIHUAHUA</t>
  </si>
  <si>
    <t>MC ALLEN</t>
  </si>
  <si>
    <t>TULTITLAN</t>
  </si>
  <si>
    <t>ZUMPANGO</t>
  </si>
  <si>
    <t>CULIACAN</t>
  </si>
  <si>
    <t>GUADALAJARA</t>
  </si>
  <si>
    <t>MONTERREY</t>
  </si>
  <si>
    <t>QUERETARO</t>
  </si>
  <si>
    <t>SAN MARTIN DE OBISPO</t>
  </si>
  <si>
    <t>VILLAHERMOSA</t>
  </si>
  <si>
    <t>TAPACHULA</t>
  </si>
  <si>
    <t>COLIMA</t>
  </si>
  <si>
    <t>TABASCO</t>
  </si>
  <si>
    <t>ACRONIMO</t>
  </si>
  <si>
    <t>CLIENTE</t>
  </si>
  <si>
    <t>CHH</t>
  </si>
  <si>
    <t>CEDA IZT</t>
  </si>
  <si>
    <t>CEDA TULTI</t>
  </si>
  <si>
    <t>CDA JUAREZ</t>
  </si>
  <si>
    <t>MC ALLEN INT</t>
  </si>
  <si>
    <t>CHEDRAUI ZUM</t>
  </si>
  <si>
    <t>LOCAL TAP</t>
  </si>
  <si>
    <t>LOCAL COL</t>
  </si>
  <si>
    <t>LOCAL TAB</t>
  </si>
  <si>
    <t>WM CHALCO</t>
  </si>
  <si>
    <t>WM CLN</t>
  </si>
  <si>
    <t>WM GDL</t>
  </si>
  <si>
    <t>WM MTY</t>
  </si>
  <si>
    <t>WM QRO</t>
  </si>
  <si>
    <t>WM SMO</t>
  </si>
  <si>
    <t>WM VSA</t>
  </si>
  <si>
    <t>S-MART CD JUAREZ</t>
  </si>
  <si>
    <t>S-MART MTY</t>
  </si>
  <si>
    <t>MC ALLEN UNFI</t>
  </si>
  <si>
    <t>RECHAZO WM CHALCO</t>
  </si>
  <si>
    <t>RECHAZO WM CLN</t>
  </si>
  <si>
    <t>RECHAZO WM GDL</t>
  </si>
  <si>
    <t>RECHAZO WM MTY</t>
  </si>
  <si>
    <t>RECHAZO WM QRO</t>
  </si>
  <si>
    <t>RECHAZO WM SMO</t>
  </si>
  <si>
    <t>RECHAZO WM VSA</t>
  </si>
  <si>
    <t>RECHAZO S-MART CD JUAREZ</t>
  </si>
  <si>
    <t>RECHAZO S-MART MTY</t>
  </si>
  <si>
    <t>RECHAZO SORIANA</t>
  </si>
  <si>
    <t>RECHAZO MC ALLEN UNFI</t>
  </si>
  <si>
    <t>RECHAZO CHEDRAUI ZUM</t>
  </si>
  <si>
    <t>MATERIALES TAP</t>
  </si>
  <si>
    <t>MATERIALES COL</t>
  </si>
  <si>
    <t>MATERIALES TAB</t>
  </si>
  <si>
    <t>TARIMAS TAP</t>
  </si>
  <si>
    <t>TARIMAS COL</t>
  </si>
  <si>
    <t>TARIMAS TAB</t>
  </si>
  <si>
    <t>Finca</t>
  </si>
  <si>
    <t>Org de Inv</t>
  </si>
  <si>
    <t>A11 087 19 de Abril</t>
  </si>
  <si>
    <t>FN_CHI_19_DE_ABRIL</t>
  </si>
  <si>
    <t>A04 033 Carlota Nava</t>
  </si>
  <si>
    <t>FN_CHI_CARLOTA</t>
  </si>
  <si>
    <t>A11 092 Composta</t>
  </si>
  <si>
    <t>FN_CHI_COMPOSTA</t>
  </si>
  <si>
    <t>A25 067 El Cuerudo GT</t>
  </si>
  <si>
    <t>FN_CHI_CUERUDO</t>
  </si>
  <si>
    <t>A25 022 Doña Mildred</t>
  </si>
  <si>
    <t>FN_CHI_DONA_MILDRE</t>
  </si>
  <si>
    <t>A01 003 Doña Nelly</t>
  </si>
  <si>
    <t>FN_CHI_DONA_NELLY</t>
  </si>
  <si>
    <t>A26 077 Dorado  Nuevo</t>
  </si>
  <si>
    <t>FN_CHI_DORADO_NUEV</t>
  </si>
  <si>
    <t>A05 042 El Conde</t>
  </si>
  <si>
    <t>FN_CHI_EL_CONDE</t>
  </si>
  <si>
    <t>A39 95 Esquipulas</t>
  </si>
  <si>
    <t>FN_CHI_ESQUIPULAS</t>
  </si>
  <si>
    <t>A39 095 Esquipulas</t>
  </si>
  <si>
    <t>A01 002 Fortaleza</t>
  </si>
  <si>
    <t>FN_CHI_FORTALEZA</t>
  </si>
  <si>
    <t>A04 005 La Gloria</t>
  </si>
  <si>
    <t>FN_CHI_GLORIA</t>
  </si>
  <si>
    <t>A36 090 Heavy</t>
  </si>
  <si>
    <t>FN_CHI_HEAVY</t>
  </si>
  <si>
    <t>A36 075 Heidy</t>
  </si>
  <si>
    <t>FN_CHI_HEIDY</t>
  </si>
  <si>
    <t>A01 004 La Ceiba</t>
  </si>
  <si>
    <t>FN_CHI_LA_CEIBA</t>
  </si>
  <si>
    <t>A38 094 Lagartero</t>
  </si>
  <si>
    <t>FN_CHI_LAGARTERO</t>
  </si>
  <si>
    <t>A04 084 Lisboa</t>
  </si>
  <si>
    <t>FN_CHI_LISBOA</t>
  </si>
  <si>
    <t>A35 082 Empaque de Macho Ej Libertad</t>
  </si>
  <si>
    <t>FN_CHI_MACH_LIB</t>
  </si>
  <si>
    <t>A01 001 Marbella</t>
  </si>
  <si>
    <t>FN_CHI_MARBELLA</t>
  </si>
  <si>
    <t>A11 045 Sector Mazatan</t>
  </si>
  <si>
    <t>FN_CHI_MAZATAN</t>
  </si>
  <si>
    <t>A27 073 Plantacion</t>
  </si>
  <si>
    <t>FN_CHI_PLANTACION</t>
  </si>
  <si>
    <t>A05 040 Plataneros Unidos 1</t>
  </si>
  <si>
    <t>FN_CHI_PLATANEROS1</t>
  </si>
  <si>
    <t>A05 041 Plataneros Unidos 2</t>
  </si>
  <si>
    <t>FN_CHI_PLATANEROS2</t>
  </si>
  <si>
    <t>A05 041 Plataneros Unidos 2 Cotan o Micros</t>
  </si>
  <si>
    <t>A11 056 San Isidro</t>
  </si>
  <si>
    <t>FN_CHI_SAN_ISIDRO</t>
  </si>
  <si>
    <t>A04 083 Santa Maria</t>
  </si>
  <si>
    <t>FN_CHI_SANTA_MARIA</t>
  </si>
  <si>
    <t>A04 038 El Triunfo Nava</t>
  </si>
  <si>
    <t>FN_CHI_TRIUNFONAV</t>
  </si>
  <si>
    <t>A25 031 Vigor</t>
  </si>
  <si>
    <t>FN_CHI_VIGOR</t>
  </si>
  <si>
    <t>B01 248 La Escolar JR</t>
  </si>
  <si>
    <t>FN_CO_LAESCOLAR_JR</t>
  </si>
  <si>
    <t>B20 248 La Escolar JR</t>
  </si>
  <si>
    <t>B01 020 Ada Nares</t>
  </si>
  <si>
    <t>FN_COL_ADA_NARES</t>
  </si>
  <si>
    <t>B05 277 Adan Ursua</t>
  </si>
  <si>
    <t>FN_COL_ADAN_URSUA</t>
  </si>
  <si>
    <t>B05 086 Agua Sanchez</t>
  </si>
  <si>
    <t>FN_COL_AGUA_SANCHZ</t>
  </si>
  <si>
    <t>B03 266 El Aguacate JL</t>
  </si>
  <si>
    <t>FN_COL_AGUACATE</t>
  </si>
  <si>
    <t>B03 281 El Aguila</t>
  </si>
  <si>
    <t>FN_COL_AGUILA</t>
  </si>
  <si>
    <t>B01 016 Aldo Bravo</t>
  </si>
  <si>
    <t>FN_COL_ALDO_BRAVO</t>
  </si>
  <si>
    <t>B20 016 Aldo Bravo</t>
  </si>
  <si>
    <t>B20 279 Las animas</t>
  </si>
  <si>
    <t>FN_COL_ANIMAS</t>
  </si>
  <si>
    <t>B01 152 Baltazar Campuzano</t>
  </si>
  <si>
    <t>FN_COL_BALTAZAR_CA</t>
  </si>
  <si>
    <t>B01 024 Ricardo Botelo</t>
  </si>
  <si>
    <t>FN_COL_BOTELLO</t>
  </si>
  <si>
    <t>B01 181 Cabañas</t>
  </si>
  <si>
    <t>FN_COL_CABANAS</t>
  </si>
  <si>
    <t>B19 242 Cahuite Arceo</t>
  </si>
  <si>
    <t>FN_COL_CAHUI_ARCEO</t>
  </si>
  <si>
    <t>B19 264 Coahuayana</t>
  </si>
  <si>
    <t>B02 250 Cahuite</t>
  </si>
  <si>
    <t>FN_COL_CAHUITE_OCH</t>
  </si>
  <si>
    <t>B20 273 Caleras Moreno</t>
  </si>
  <si>
    <t>FN_COL_CALERAS</t>
  </si>
  <si>
    <t>B14 167 Callejones</t>
  </si>
  <si>
    <t>FN_COL_CALLEJONES</t>
  </si>
  <si>
    <t>B15  094 Camalote</t>
  </si>
  <si>
    <t>FN_COL_CAMALOTE</t>
  </si>
  <si>
    <t xml:space="preserve">B15  094 Camalote </t>
  </si>
  <si>
    <t xml:space="preserve">b06 084 Caspejo </t>
  </si>
  <si>
    <t>FN_COL_CASPEJO</t>
  </si>
  <si>
    <t xml:space="preserve">B01 084 Caspejo </t>
  </si>
  <si>
    <t>B01 100 Castrejon</t>
  </si>
  <si>
    <t>FN_COL_CASTREJON</t>
  </si>
  <si>
    <t>B20 270 Cerrito de aguilar</t>
  </si>
  <si>
    <t>FN_COL_CERRITO</t>
  </si>
  <si>
    <t>B22 270 Cerrito de aguilar</t>
  </si>
  <si>
    <t>B14 188 Chanchopa</t>
  </si>
  <si>
    <t>FN_COL_CHANCHOPA</t>
  </si>
  <si>
    <t>B01 254 Chiclon Hector Tapia</t>
  </si>
  <si>
    <t>FN_COL_CHICLONHT</t>
  </si>
  <si>
    <t>B01 006 Chocokillo</t>
  </si>
  <si>
    <t>FN_COL_CHOCOKILLO</t>
  </si>
  <si>
    <t>B02 039 Cofradia Ochoa</t>
  </si>
  <si>
    <t>FN_COL_COFRADIA</t>
  </si>
  <si>
    <t>B21 039 Cofradia</t>
  </si>
  <si>
    <t>B03 057 Colomo</t>
  </si>
  <si>
    <t>FN_COL_COLOMO</t>
  </si>
  <si>
    <t>B02 272 La Coneja</t>
  </si>
  <si>
    <t>FN_COL_CONEJA</t>
  </si>
  <si>
    <t>B21 272 La Coneja</t>
  </si>
  <si>
    <t>B20 278 Crucero del Ticuiz</t>
  </si>
  <si>
    <t>FN_COL_CRUCEROTIQ</t>
  </si>
  <si>
    <t>B07 247 Los Cuartones</t>
  </si>
  <si>
    <t>FN_COL_CUARTONES</t>
  </si>
  <si>
    <t>B02 044 Delfina</t>
  </si>
  <si>
    <t>FN_COL_DELFINA</t>
  </si>
  <si>
    <t>B07 223 El Ejemplo</t>
  </si>
  <si>
    <t>FN_COL_EJEMPLO</t>
  </si>
  <si>
    <t>B07 223 El Ejemplo EV</t>
  </si>
  <si>
    <t>B03 207 El Bajio</t>
  </si>
  <si>
    <t>FN_COL_EL_BAJIO</t>
  </si>
  <si>
    <t>B03 058 El Banco</t>
  </si>
  <si>
    <t>FN_COL_EL_BANCO</t>
  </si>
  <si>
    <t>B12 194 El Café</t>
  </si>
  <si>
    <t>FN_COL_EL_CAFE</t>
  </si>
  <si>
    <t>b20 053 Cahuite RPC</t>
  </si>
  <si>
    <t>FN_COL_EL_CAHUITE</t>
  </si>
  <si>
    <t>B01 053 Cahuite RPC</t>
  </si>
  <si>
    <t>B01 053 Cahuite Ricamp</t>
  </si>
  <si>
    <t>B20 053 Cahuite Ricamp</t>
  </si>
  <si>
    <t>B20 053 Cahuite</t>
  </si>
  <si>
    <t>B20 053 El Cahuite</t>
  </si>
  <si>
    <t>B20 053 Cahuite ES</t>
  </si>
  <si>
    <t xml:space="preserve">B03 260 El Espinal </t>
  </si>
  <si>
    <t>FN_COL_EL_ESPINAL</t>
  </si>
  <si>
    <t>B01 214 El Minuto</t>
  </si>
  <si>
    <t>FN_COL_EL_MINUTO</t>
  </si>
  <si>
    <t>B20 214 El Minuto</t>
  </si>
  <si>
    <t>B20 275 Ticuiz al Ogro JG</t>
  </si>
  <si>
    <t>FN_COL_EL_OGRO</t>
  </si>
  <si>
    <t>B03 071 Paraiso</t>
  </si>
  <si>
    <t>FN_COL_EL_PARAISO</t>
  </si>
  <si>
    <t>B20 185 El Sueño</t>
  </si>
  <si>
    <t>FN_COL_EL_SUENO</t>
  </si>
  <si>
    <t>B01 185 El Sueño</t>
  </si>
  <si>
    <t>B20 238 Empaque Moreno</t>
  </si>
  <si>
    <t>FN_COL_EMPAQUE_MOR</t>
  </si>
  <si>
    <t>B04 171 La Escondida</t>
  </si>
  <si>
    <t>FN_COL_ESCON_BANAM</t>
  </si>
  <si>
    <t>B05 030 Fernando Velazco</t>
  </si>
  <si>
    <t>FN_COL_FERNANDO_VE</t>
  </si>
  <si>
    <t>B05 193 El Palmar Gladis Garcia</t>
  </si>
  <si>
    <t>FN_COL_GLADIS_GCIA</t>
  </si>
  <si>
    <t>B01 232 Guatepots</t>
  </si>
  <si>
    <t>FN_COL_GUATEPOTS</t>
  </si>
  <si>
    <t>B07 280 La Guerita</t>
  </si>
  <si>
    <t>FN_COL_GUERITA</t>
  </si>
  <si>
    <t>B20 267 La Hermita</t>
  </si>
  <si>
    <t>FN_COL_HERMITA</t>
  </si>
  <si>
    <t>B06 267 La Hermita</t>
  </si>
  <si>
    <t>B06 230 El Vado</t>
  </si>
  <si>
    <t>B06 253 Hermanos Rivera (Jose Rivera)</t>
  </si>
  <si>
    <t>FN_COL_HNOSRIVERA</t>
  </si>
  <si>
    <t>B01 019 Jesus Mendoza</t>
  </si>
  <si>
    <t>FN_COL_JES_MEN</t>
  </si>
  <si>
    <t>B05 161 Jesus Campuzano</t>
  </si>
  <si>
    <t>FN_COL_JESUS_CAMP</t>
  </si>
  <si>
    <t>B20 240 Javier Leyva</t>
  </si>
  <si>
    <t>FN_COL_JLEYVA</t>
  </si>
  <si>
    <t>B02 037 Jorge Ochoa</t>
  </si>
  <si>
    <t>FN_COL_JORGE_OCHOA</t>
  </si>
  <si>
    <t>B15 218 Juan Rocha</t>
  </si>
  <si>
    <t>FN_COL_JUANROCHA</t>
  </si>
  <si>
    <t>B03 158 El Bado</t>
  </si>
  <si>
    <t>FN_COL_KAREN_GLEZ</t>
  </si>
  <si>
    <t>B02 183 Ceiba</t>
  </si>
  <si>
    <t>FN_COL_LA_CEIBA</t>
  </si>
  <si>
    <t>B02 089 Callejones la curva</t>
  </si>
  <si>
    <t>FN_COL_LA_CURVA</t>
  </si>
  <si>
    <t>B21 089 Callejones 1</t>
  </si>
  <si>
    <t>B21 089 Callejones La curva</t>
  </si>
  <si>
    <t>B05 112 La Guinea</t>
  </si>
  <si>
    <t>FN_COL_LA_GUINEA</t>
  </si>
  <si>
    <t>B15 096 La Ilusion</t>
  </si>
  <si>
    <t>FN_COL_LA_ILUSION</t>
  </si>
  <si>
    <t>B12 140 La Laguna</t>
  </si>
  <si>
    <t>FN_COL_LA_LAGUNA</t>
  </si>
  <si>
    <t>B20 051 La Limonera</t>
  </si>
  <si>
    <t>FN_COL_LA_LIMONERA</t>
  </si>
  <si>
    <t>B01 187 Fabiola Moreno Ochoa</t>
  </si>
  <si>
    <t>B04 079 La Luna</t>
  </si>
  <si>
    <t>FN_COL_LA_LUNA</t>
  </si>
  <si>
    <t>B03 138 La mojonera</t>
  </si>
  <si>
    <t>FN_COL_LA_MOJONERA</t>
  </si>
  <si>
    <t>B20 119 La Parcela Escolar</t>
  </si>
  <si>
    <t>FN_COL_LA_PARCELA</t>
  </si>
  <si>
    <t>B20 119 La Parcela Escolar LG</t>
  </si>
  <si>
    <t>B03 119 La Parcela Escolar</t>
  </si>
  <si>
    <t>B07 221 La Perla del Rincon</t>
  </si>
  <si>
    <t>FN_COL_LA_PERLA</t>
  </si>
  <si>
    <t>B04 074 La Playa B4</t>
  </si>
  <si>
    <t>FN_COL_LA_PLAYA</t>
  </si>
  <si>
    <t>B20 173 La Playa UE</t>
  </si>
  <si>
    <t>FN_COL_LA_PLAYA_UL</t>
  </si>
  <si>
    <t>B07 173 La Playa UE</t>
  </si>
  <si>
    <t>B06 173 La Playa UE</t>
  </si>
  <si>
    <t>B06173 La Playa UE</t>
  </si>
  <si>
    <t>B03 142 La Popa</t>
  </si>
  <si>
    <t>FN_COL_LA_POPA</t>
  </si>
  <si>
    <t>B03 210 La Popa</t>
  </si>
  <si>
    <t>B01 033 Soledad</t>
  </si>
  <si>
    <t>FN_COL_LA_SOLEDAD</t>
  </si>
  <si>
    <t>B03 033 Soledad</t>
  </si>
  <si>
    <t>B20 033 Soledad</t>
  </si>
  <si>
    <t>B14 283 La Laguna GG</t>
  </si>
  <si>
    <t>FN_COL_LAGUNAGG</t>
  </si>
  <si>
    <t>B20 265 Laguna JG</t>
  </si>
  <si>
    <t>FN_COL_LAGUNAJG</t>
  </si>
  <si>
    <t>B03 160 Las 30</t>
  </si>
  <si>
    <t>FN_COL_LAS_30</t>
  </si>
  <si>
    <t xml:space="preserve">B01 105 Las 500 </t>
  </si>
  <si>
    <t>FN_COL_LAS_500</t>
  </si>
  <si>
    <t>B03 082 Albercas</t>
  </si>
  <si>
    <t>FN_COL_LAS_ALBERCA</t>
  </si>
  <si>
    <t>B07 201 Las Guasimas</t>
  </si>
  <si>
    <t>FN_COL_LAS_GUASIMA</t>
  </si>
  <si>
    <t>B03 151 Finca Las Hamacas</t>
  </si>
  <si>
    <t>FN_COL_LAS_HAMACAS</t>
  </si>
  <si>
    <t>B07 075 Las Palmas</t>
  </si>
  <si>
    <t>FN_COL_LAS_PALMAS</t>
  </si>
  <si>
    <t>B01 077 Las Parotas</t>
  </si>
  <si>
    <t>FN_COL_LAS_PAROTAS</t>
  </si>
  <si>
    <t xml:space="preserve">B01 106 Las Trancas  </t>
  </si>
  <si>
    <t>FN_COL_LAS_TRANCAS</t>
  </si>
  <si>
    <t xml:space="preserve">B05 111 Leonarda </t>
  </si>
  <si>
    <t>FN_COL_LEONARDA</t>
  </si>
  <si>
    <t>B15 178 Los Almendros</t>
  </si>
  <si>
    <t>FN_COL_LOS_ALMENDR</t>
  </si>
  <si>
    <t>B15 095 Los dos Hermanos Juan Valdivia</t>
  </si>
  <si>
    <t>FN_COL_LOS_DOS_HER</t>
  </si>
  <si>
    <t>B15 097 Los Milagritos</t>
  </si>
  <si>
    <t>FN_COL_LOS_MILAGRI</t>
  </si>
  <si>
    <t>B03 097 Los Milagritos</t>
  </si>
  <si>
    <t xml:space="preserve">B20 102 Manuel Leiva </t>
  </si>
  <si>
    <t>FN_COL_MANUEL_LEYV</t>
  </si>
  <si>
    <t>B01 102 Manuel Leiva</t>
  </si>
  <si>
    <t>B20 257 Mariachi</t>
  </si>
  <si>
    <t>FN_COL_MARIACHI</t>
  </si>
  <si>
    <t>B02 041 Mariana 1</t>
  </si>
  <si>
    <t>FN_COL_MARIANA_1</t>
  </si>
  <si>
    <t>B20 041 Mariana 1</t>
  </si>
  <si>
    <t xml:space="preserve">B02 170 Mariana 2 </t>
  </si>
  <si>
    <t>FN_COL_MARIANA_2</t>
  </si>
  <si>
    <t>B21 170 Mariana 2</t>
  </si>
  <si>
    <t>B02 042 Mariana 4</t>
  </si>
  <si>
    <t>FN_COL_MARIANA_4</t>
  </si>
  <si>
    <t>B21 042 Mariana 4 y 5</t>
  </si>
  <si>
    <t>B02 043 Mariana 6</t>
  </si>
  <si>
    <t>FN_COL_MARIANA_6</t>
  </si>
  <si>
    <t>B05 070 Mario Garcia</t>
  </si>
  <si>
    <t>FN_COL_MARIO_GCIA</t>
  </si>
  <si>
    <t>B07 162 Memin</t>
  </si>
  <si>
    <t>FN_COL_MEMINC</t>
  </si>
  <si>
    <t>B20 258 Moctezuma JG</t>
  </si>
  <si>
    <t>FN_COL_MOCTEZUMA</t>
  </si>
  <si>
    <t>B07 258 Moctezuma JG</t>
  </si>
  <si>
    <t>B01 258 Moctezuma JG</t>
  </si>
  <si>
    <t>B01 258 Montezuma</t>
  </si>
  <si>
    <t>B01 189 Norma</t>
  </si>
  <si>
    <t>FN_COL_NORMA</t>
  </si>
  <si>
    <t>B01 026 Orliz</t>
  </si>
  <si>
    <t>FN_COL_ORLIZ</t>
  </si>
  <si>
    <t>B05 271 Pacifico</t>
  </si>
  <si>
    <t>FN_COL_PACIFICO</t>
  </si>
  <si>
    <t>B04 216 Palmas</t>
  </si>
  <si>
    <t>FN_COL_PALMAS_DEYS</t>
  </si>
  <si>
    <t>B03 177 Las Palmas</t>
  </si>
  <si>
    <t>FN_COL_PALMAS_JL</t>
  </si>
  <si>
    <t xml:space="preserve">B03 177 Las Palmas </t>
  </si>
  <si>
    <t>B05 199 Paraiso 1</t>
  </si>
  <si>
    <t>FN_COL_PARAISO_1</t>
  </si>
  <si>
    <t>B05 196 Paraiso 2</t>
  </si>
  <si>
    <t>FN_COL_PARAISO_2</t>
  </si>
  <si>
    <t>B05  251 Paraiso 3</t>
  </si>
  <si>
    <t>FN_COL_PARAISO_3</t>
  </si>
  <si>
    <t>B04 123 Parota, Banamac</t>
  </si>
  <si>
    <t>FN_COL_PAROTA</t>
  </si>
  <si>
    <t>B19 245 Parota DA</t>
  </si>
  <si>
    <t>FN_COL_PAROTA_DA</t>
  </si>
  <si>
    <t>B20 249 Parotas JG</t>
  </si>
  <si>
    <t>FN_COL_PAROTAS_JG</t>
  </si>
  <si>
    <t>B06 236 Don Goyo</t>
  </si>
  <si>
    <t>FN_COL_PENA_GOYO</t>
  </si>
  <si>
    <t>B01 236 Don Goyo</t>
  </si>
  <si>
    <t>B01 003 Pitillo</t>
  </si>
  <si>
    <t>FN_COL_PITILLO</t>
  </si>
  <si>
    <t>B07 038 Puerta de Golpe</t>
  </si>
  <si>
    <t>FN_COL_PUERTA_DE_G</t>
  </si>
  <si>
    <t>B20 268 Raulin</t>
  </si>
  <si>
    <t>FN_COL_RAULIN</t>
  </si>
  <si>
    <t>B01 276 Raul Ortega</t>
  </si>
  <si>
    <t>FN_COL_RAULORT</t>
  </si>
  <si>
    <t>B01 036 Rio WP</t>
  </si>
  <si>
    <t>FN_COL_RIO_WILMAR</t>
  </si>
  <si>
    <t>B20 260 Ruben Bravo JG</t>
  </si>
  <si>
    <t>FN_COL_RUBENBRAV</t>
  </si>
  <si>
    <t>B20 261 Ruben Bravo JG</t>
  </si>
  <si>
    <t>B04 080 San Cristobal</t>
  </si>
  <si>
    <t>FN_COL_SAN_CRISTOB</t>
  </si>
  <si>
    <t>B03 055 San Jorge</t>
  </si>
  <si>
    <t>FN_COL_SAN_JORGE</t>
  </si>
  <si>
    <t xml:space="preserve">B20 211 San Miguel Ojo de Agua </t>
  </si>
  <si>
    <t>FN_COL_SAN_MIGUEL</t>
  </si>
  <si>
    <t xml:space="preserve">B07 211 San Miguel Ojo de Agua </t>
  </si>
  <si>
    <t xml:space="preserve">B06 211 San Miguel Ojo de Agua </t>
  </si>
  <si>
    <t>B06 211 San Miguel Ojo de Agua</t>
  </si>
  <si>
    <t>B12 015 San Rafael</t>
  </si>
  <si>
    <t>FN_COL_SAN_RAFAEL</t>
  </si>
  <si>
    <t>B14 175 Santa Elena</t>
  </si>
  <si>
    <t>FN_COL_SANTA_ELENA</t>
  </si>
  <si>
    <t>A16 064 Santa Elena</t>
  </si>
  <si>
    <t>B15 209 San Vicente</t>
  </si>
  <si>
    <t>FN_COL_SANVICENTE</t>
  </si>
  <si>
    <t>B06 209 San Vicente</t>
  </si>
  <si>
    <t>B03 284 Saucera</t>
  </si>
  <si>
    <t>FN_COL_SAUCERA</t>
  </si>
  <si>
    <t>B14 165 El Saucito 1 GG</t>
  </si>
  <si>
    <t>FN_COL_SAUCITO_1</t>
  </si>
  <si>
    <t>B14 174 El Saucito 2 GG</t>
  </si>
  <si>
    <t>FN_COL_SAUCITO_2</t>
  </si>
  <si>
    <t>B02 197 Santa Rosa</t>
  </si>
  <si>
    <t>FN_COL_STAROSA</t>
  </si>
  <si>
    <t>B01 022 Ticho</t>
  </si>
  <si>
    <t>FN_COL_TICHO</t>
  </si>
  <si>
    <t>B01 078 Ticuiz</t>
  </si>
  <si>
    <t>FN_COL_TIQUIZ</t>
  </si>
  <si>
    <t>B15 186 Topete</t>
  </si>
  <si>
    <t>FN_COL_TOPETE</t>
  </si>
  <si>
    <t>B03 186 Topete</t>
  </si>
  <si>
    <t>B03 061 La Tostada</t>
  </si>
  <si>
    <t>FN_COL_TOSTADA</t>
  </si>
  <si>
    <t>B05 061 La Tostada</t>
  </si>
  <si>
    <t>B06 231 Frutas Valle Abarca</t>
  </si>
  <si>
    <t>FN_COL_VALLE_ABARC</t>
  </si>
  <si>
    <t>B02 045 Valle Nuevo 1</t>
  </si>
  <si>
    <t>FN_COL_VALLE_NUE1</t>
  </si>
  <si>
    <t>B07 045 Valle Nuevo 1</t>
  </si>
  <si>
    <t>B21045 Valle Nuevo 1</t>
  </si>
  <si>
    <t>B02045 Valle Nuevo 1</t>
  </si>
  <si>
    <t>B21 045 Valle Nuevo 1</t>
  </si>
  <si>
    <t>B21 045 Valle Nuevo</t>
  </si>
  <si>
    <t>B02 046 Valle Nuevo 2</t>
  </si>
  <si>
    <t>FN_COL_VALLE_NUE2</t>
  </si>
  <si>
    <t>B21 046 Valle Nuevo 2</t>
  </si>
  <si>
    <t>B21 046  Valle Nuevo  2</t>
  </si>
  <si>
    <t>B07 262 El Venado EV</t>
  </si>
  <si>
    <t>FN_COL_VENADO_EV</t>
  </si>
  <si>
    <t>B03 025 Zanja Prieta</t>
  </si>
  <si>
    <t>FN_COL_ZANJA_PRIET</t>
  </si>
  <si>
    <t>B20 125 Zapotan</t>
  </si>
  <si>
    <t>FN_COL_ZAPOTAN</t>
  </si>
  <si>
    <t>B03 125 Zapotan</t>
  </si>
  <si>
    <t>B19 263 Nenitas</t>
  </si>
  <si>
    <t>FN_COL_ZARAGOZA</t>
  </si>
  <si>
    <t>B19 228 Zaragoza</t>
  </si>
  <si>
    <t>C05 020 Candelaria</t>
  </si>
  <si>
    <t>FN_TAB_CANDELARIA</t>
  </si>
  <si>
    <t>C11 031 El Dolar</t>
  </si>
  <si>
    <t>FN_TAB_EL_DOLAR</t>
  </si>
  <si>
    <t>C19 043 Felipe Martinez Ruiz</t>
  </si>
  <si>
    <t>FN_TAB_FELIPE_MTZ</t>
  </si>
  <si>
    <t>C01 0G2 Genesis 2</t>
  </si>
  <si>
    <t>FN_TAB_GEN_II_FC</t>
  </si>
  <si>
    <t>C01 0G3 Genesis 3</t>
  </si>
  <si>
    <t>FN_TAB_GEN_III_FC</t>
  </si>
  <si>
    <t>C05 021 Tembladera</t>
  </si>
  <si>
    <t>FN_TAB_TEMBLADERA</t>
  </si>
  <si>
    <t>A05 93 Cotan y Palmas altas</t>
  </si>
  <si>
    <t>FN_CHI_COTAN</t>
  </si>
  <si>
    <t>A40 096 Cuauhtemoc</t>
  </si>
  <si>
    <t>FN_CHI_CUAUHTEMOC</t>
  </si>
  <si>
    <t>A04 098 Trinidad y Lindavista</t>
  </si>
  <si>
    <t>FN_CHI_TRINIDAD</t>
  </si>
  <si>
    <t>A06 043 Nuestra señora</t>
  </si>
  <si>
    <t>FN_CHI_NUESTRA_SRA</t>
  </si>
  <si>
    <t>B07 228 Zaragoza</t>
  </si>
  <si>
    <t>B01 220 Alfonso salgado</t>
  </si>
  <si>
    <t>FN_COL_ALFONSO_SAL</t>
  </si>
  <si>
    <t xml:space="preserve">B03 001 Los Cedros </t>
  </si>
  <si>
    <t>FN_COL_LOS_CEDROS</t>
  </si>
  <si>
    <t>B24 280 La Guerita</t>
  </si>
  <si>
    <t>B21 041 Mariana 1</t>
  </si>
  <si>
    <t>B21 042 Mariana 4</t>
  </si>
  <si>
    <t>B03 285 Magaña</t>
  </si>
  <si>
    <t>FN_COL_MAGANA</t>
  </si>
  <si>
    <t xml:space="preserve">B20 053 Cahuite </t>
  </si>
  <si>
    <t>B03 286 El Rio Arif</t>
  </si>
  <si>
    <t>FN_COL_RIO_ARIF</t>
  </si>
  <si>
    <t>B05 185 El Sueño</t>
  </si>
  <si>
    <t>C09 028 San Jose Gonzales</t>
  </si>
  <si>
    <t>FN_TAB_SAN_JOSE_GL</t>
  </si>
  <si>
    <t>B21 039 Cofradía</t>
  </si>
  <si>
    <t>B20 287 El Pilar</t>
  </si>
  <si>
    <t>FN_COL_PILAR</t>
  </si>
  <si>
    <t>B04 288 El Rastro</t>
  </si>
  <si>
    <t>FN_COL_RASTRO</t>
  </si>
  <si>
    <t>B06 287 El Pilar</t>
  </si>
  <si>
    <t>B06 173 Playa UE</t>
  </si>
  <si>
    <t>B03 237 Don Lupe</t>
  </si>
  <si>
    <t>FN_COL_DON_LUPE</t>
  </si>
  <si>
    <t>B24 037 Jorge Ochoa</t>
  </si>
  <si>
    <t>B03 065 La Lima</t>
  </si>
  <si>
    <t>FN_COL_LA_LIMA</t>
  </si>
  <si>
    <t>B21 289 Mendoza</t>
  </si>
  <si>
    <t>FN_COL_MENDOZA</t>
  </si>
  <si>
    <t>B15 210 La Popa</t>
  </si>
  <si>
    <t>C20 044 El Macayo</t>
  </si>
  <si>
    <t>FN_TAB_MACAYO</t>
  </si>
  <si>
    <t>A08 006 San Joaquin</t>
  </si>
  <si>
    <t>FN_CHI_SAN_JOAQUIN</t>
  </si>
  <si>
    <t>B20 210 La Popa</t>
  </si>
  <si>
    <t>B07 196 Paraiso 2</t>
  </si>
  <si>
    <t>C16 030 Chela Bananas</t>
  </si>
  <si>
    <t>FN_TAB_CHELA</t>
  </si>
  <si>
    <t>C14 025 Sabe Bananas</t>
  </si>
  <si>
    <t>FN_TAB_SABEBANANA</t>
  </si>
  <si>
    <t>C20 003 San Lorenzo</t>
  </si>
  <si>
    <t>FN_TAB_LORENZOTAB</t>
  </si>
  <si>
    <t>C04 017 Jaguar</t>
  </si>
  <si>
    <t>FN_TAB_JAGUAR</t>
  </si>
  <si>
    <t>C07 045 Santa Rosa FC</t>
  </si>
  <si>
    <t>FN_TAB_STAROSA</t>
  </si>
  <si>
    <t>A26 099 Empaque 1 Diaz Ordaz</t>
  </si>
  <si>
    <t>FN_CHI_DIAZ_ORDAZ</t>
  </si>
  <si>
    <t>A03 027 El Cahua</t>
  </si>
  <si>
    <t>FN_CHI_ELCAHUA</t>
  </si>
  <si>
    <t>A03 026 Santa Fe</t>
  </si>
  <si>
    <t>FN_CHI_STAFE</t>
  </si>
  <si>
    <t>A41 005 La Gloria</t>
  </si>
  <si>
    <t>B03 051 La Limonera</t>
  </si>
  <si>
    <t>B01 287 El Pilar</t>
  </si>
  <si>
    <t>B20 228 Zaragoza</t>
  </si>
  <si>
    <t xml:space="preserve">B20 248 La Escolar </t>
  </si>
  <si>
    <t>B04 293 El Tesoro</t>
  </si>
  <si>
    <t>FN_COL_TESORO</t>
  </si>
  <si>
    <t>C05 022 El Tirol</t>
  </si>
  <si>
    <t>FN_TAB_TIROL</t>
  </si>
  <si>
    <t>B20 288 El Rastro</t>
  </si>
  <si>
    <t>B20 290 Los Patios</t>
  </si>
  <si>
    <t>FN_COL_PATIOS</t>
  </si>
  <si>
    <t>B03 272 La Coneja</t>
  </si>
  <si>
    <t>B21 291 La Reversa</t>
  </si>
  <si>
    <t>FN_COL_REVERSA</t>
  </si>
  <si>
    <t>B06 292 La Lupita</t>
  </si>
  <si>
    <t>FN_COL_LUPITA</t>
  </si>
  <si>
    <t>B01 239 La Peña</t>
  </si>
  <si>
    <t>FN_COL_PENA</t>
  </si>
  <si>
    <t>A12 057 Tiquisate 1</t>
  </si>
  <si>
    <t>FN_CHI_TIQUIZATE_1</t>
  </si>
  <si>
    <t>A03 028 Romina</t>
  </si>
  <si>
    <t>FN_CHI_ROMINA</t>
  </si>
  <si>
    <t>A09 052 Miguel Aleman 2</t>
  </si>
  <si>
    <t>FN_CHI_MI_ALEM2</t>
  </si>
  <si>
    <t>B01 098 El Chical</t>
  </si>
  <si>
    <t>FN_COL_EL_CHICAL</t>
  </si>
  <si>
    <t>B06 260 El Espinal</t>
  </si>
  <si>
    <t>B21 277 Adan Ursua</t>
  </si>
  <si>
    <t>B01 027 Las Fosas</t>
  </si>
  <si>
    <t>FN_COL_LAS_FOSAS</t>
  </si>
  <si>
    <t>B01 206 Botello</t>
  </si>
  <si>
    <t>B03 216 Palmas</t>
  </si>
  <si>
    <t>B03 081 Nacho Fernandez</t>
  </si>
  <si>
    <t>FN_COL_NACHO_HDZ</t>
  </si>
  <si>
    <t>C18 041 Santos Soberano</t>
  </si>
  <si>
    <t>B03 083 Sapo de Oro MF</t>
  </si>
  <si>
    <t>FN_COL_SAPO_MF</t>
  </si>
  <si>
    <t>SKU</t>
  </si>
  <si>
    <t>Calidad</t>
  </si>
  <si>
    <t>CPL08133</t>
  </si>
  <si>
    <t>Chanitos Plantain 50lb Tarima Americana</t>
  </si>
  <si>
    <t>CPR03117</t>
  </si>
  <si>
    <t>Chanitos Cha Cha Cha 22XU CP26 Mar Kodawari</t>
  </si>
  <si>
    <t>CPR03119</t>
  </si>
  <si>
    <t>Chanitos Cha Cha Cha 22XU  CP34 Mar Kodawari</t>
  </si>
  <si>
    <t>Chanitos Snack</t>
  </si>
  <si>
    <t>CPR01102</t>
  </si>
  <si>
    <t>Chanitos Premium Tarima Chep</t>
  </si>
  <si>
    <t>CPR01101</t>
  </si>
  <si>
    <t>Chanitos Premium Granel</t>
  </si>
  <si>
    <t>CSA04120</t>
  </si>
  <si>
    <t>Chanitos Cha Cha Cha (2da) Granel</t>
  </si>
  <si>
    <t>CMN05123</t>
  </si>
  <si>
    <t>Chanitos Manitas Granel</t>
  </si>
  <si>
    <t>CDS04122</t>
  </si>
  <si>
    <t>Chanitos Cha Cha Cha (DS) Granel</t>
  </si>
  <si>
    <t>CRG07128</t>
  </si>
  <si>
    <t>Chanitos Organic Banded Market Side Mexico</t>
  </si>
  <si>
    <t>CPR01103</t>
  </si>
  <si>
    <t>Chanitos Premium Tarima Americana</t>
  </si>
  <si>
    <t>CPR03123</t>
  </si>
  <si>
    <t>Chanitos Premium Tarima Chep Banda 3b</t>
  </si>
  <si>
    <t>CPL08134</t>
  </si>
  <si>
    <t>Chanitos Plantain 20Kg Tarima Americana</t>
  </si>
  <si>
    <t>CPL08141</t>
  </si>
  <si>
    <t>Chanitos Plantain 20Kg Tarima Chep</t>
  </si>
  <si>
    <t>CPR01109</t>
  </si>
  <si>
    <t>Chanitos Premium 22XU CP26 WR</t>
  </si>
  <si>
    <t>CRG07129</t>
  </si>
  <si>
    <t>Chanitos Organic Banded Market Side EUA</t>
  </si>
  <si>
    <t>CRG07125</t>
  </si>
  <si>
    <t>Chanitos Organic Banded Tape Verde</t>
  </si>
  <si>
    <t>CRG07127</t>
  </si>
  <si>
    <t>Chanitos Organic 3lb Banded Tape Morado</t>
  </si>
  <si>
    <t>CRG07131</t>
  </si>
  <si>
    <t>Chanitos Organic  22XU CP34 Union</t>
  </si>
  <si>
    <t>CRG07130</t>
  </si>
  <si>
    <t>Chanitos Organic  22XU CP28 Union</t>
  </si>
  <si>
    <t>CPR01111</t>
  </si>
  <si>
    <t>CPR01113</t>
  </si>
  <si>
    <t>Chanitos Premium 22XU CL13 Royal</t>
  </si>
  <si>
    <t>CPR01112</t>
  </si>
  <si>
    <t>Chanitos Premium 22XU CL25 Royal</t>
  </si>
  <si>
    <t>CPR01106</t>
  </si>
  <si>
    <t>Chanitos Premium 22XU CP34 Union</t>
  </si>
  <si>
    <t>CPR01108</t>
  </si>
  <si>
    <t>Chanitos Premium 22XU CP26 Union</t>
  </si>
  <si>
    <t>CPR01107</t>
  </si>
  <si>
    <t>Chanitos Premium 22XU CP30 Union</t>
  </si>
  <si>
    <t>CRG07132</t>
  </si>
  <si>
    <t>CDM10138</t>
  </si>
  <si>
    <t>Chanitos Dominico 2da</t>
  </si>
  <si>
    <t xml:space="preserve">Organic  Wild Harvest </t>
  </si>
  <si>
    <t>CCL02114</t>
  </si>
  <si>
    <t>Chanitos Classic Granel</t>
  </si>
  <si>
    <t>Chanitos Premium 22XU CP26 Royal</t>
  </si>
  <si>
    <t>Chanitos Premium 22XU CP28 Royal</t>
  </si>
  <si>
    <t>CDM10137</t>
  </si>
  <si>
    <t>CPR01104</t>
  </si>
  <si>
    <t>Chanitos Premium EUA Tarima Americana</t>
  </si>
  <si>
    <t>Chanitos Dominico 1ra</t>
  </si>
  <si>
    <t>CPR03124</t>
  </si>
  <si>
    <t>Chanitos Cha Cha Cha 22XU CP27 Mar Kodawari</t>
  </si>
  <si>
    <t>CRG07133</t>
  </si>
  <si>
    <t>Chanitos Organic  Wild Harvest PLU94011</t>
  </si>
  <si>
    <t>CPR01115</t>
  </si>
  <si>
    <t>CDS04123</t>
  </si>
  <si>
    <t>CDS04125</t>
  </si>
  <si>
    <t>CPR01114</t>
  </si>
  <si>
    <t>Platano de Chiapas BAE UPC 3237</t>
  </si>
  <si>
    <t>CPR01116</t>
  </si>
  <si>
    <t>CDS06124</t>
  </si>
  <si>
    <t>PROCESO</t>
  </si>
  <si>
    <t>TEMPERATURA MIN (C°)</t>
  </si>
  <si>
    <t>TEMPERATURA MAX (C°)</t>
  </si>
  <si>
    <t>BLOQUES MAX PREENFRIO</t>
  </si>
  <si>
    <t>B20 228 Zaragoza 2</t>
  </si>
  <si>
    <t>,</t>
  </si>
  <si>
    <t>('CDS06124','Chanitos Snack'),</t>
  </si>
  <si>
    <t>('CCL02114','Chanitos Classic Granel'),</t>
  </si>
  <si>
    <t>('CDM10137','Chanitos Dominico 1ra'),</t>
  </si>
  <si>
    <t>('CDM10138','Chanitos Dominico 2da'),</t>
  </si>
  <si>
    <t>('CDS04122','Chanitos Cha Cha Cha (DS) Granel'),</t>
  </si>
  <si>
    <t>('CDS04123','Chanitos Premium Granel'),</t>
  </si>
  <si>
    <t>('CDS04125','Chanitos Premium Tarima Chep'),</t>
  </si>
  <si>
    <t>('CMN05123','Chanitos Manitas Granel'),</t>
  </si>
  <si>
    <t>('CPL08133','Chanitos Plantain 50lb Tarima Americana'),</t>
  </si>
  <si>
    <t>('CPL08134','Chanitos Plantain 20Kg Tarima Americana'),</t>
  </si>
  <si>
    <t>('CPL08141','Chanitos Plantain 20Kg Tarima Chep'),</t>
  </si>
  <si>
    <t>('CPR01101','Chanitos Premium Granel'),</t>
  </si>
  <si>
    <t>('CPR01102','Chanitos Premium Tarima Chep'),</t>
  </si>
  <si>
    <t>('CPR01103','Chanitos Premium Tarima Americana'),</t>
  </si>
  <si>
    <t>('CPR01104','Chanitos Premium EUA Tarima Americana'),</t>
  </si>
  <si>
    <t>('CPR01106','Chanitos Premium 22XU CP34 Union'),</t>
  </si>
  <si>
    <t>('CPR01107','Chanitos Premium 22XU CP30 Union'),</t>
  </si>
  <si>
    <t>('CPR01108','Chanitos Premium 22XU CP26 Union'),</t>
  </si>
  <si>
    <t>('CPR01109','Chanitos Premium 22XU CP26 WR'),</t>
  </si>
  <si>
    <t>('CPR01111','Chanitos Premium 22XU CP28 Royal'),</t>
  </si>
  <si>
    <t>('CPR01112','Chanitos Premium 22XU CL25 Royal'),</t>
  </si>
  <si>
    <t>('CPR01113','Chanitos Premium 22XU CL13 Royal'),</t>
  </si>
  <si>
    <t>('CPR01114','Platano de Chiapas BAE UPC 3237'),</t>
  </si>
  <si>
    <t>('CPR01115','Chanitos Premium 22XU CP28 Royal'),</t>
  </si>
  <si>
    <t>('CPR01116','Chanitos Premium 22XU CP26 Royal'),</t>
  </si>
  <si>
    <t>('CPR03117','Chanitos Cha Cha Cha 22XU CP26 Mar Kodawari'),</t>
  </si>
  <si>
    <t>('CPR03119','Chanitos Cha Cha Cha 22XU  CP34 Mar Kodawari'),</t>
  </si>
  <si>
    <t>('CPR03123','Chanitos Premium Tarima Chep Banda 3b'),</t>
  </si>
  <si>
    <t>('CPR03124','Chanitos Cha Cha Cha 22XU CP27 Mar Kodawari'),</t>
  </si>
  <si>
    <t>('CRG07125','Chanitos Organic Banded Tape Verde'),</t>
  </si>
  <si>
    <t>('CRG07127','Chanitos Organic 3lb Banded Tape Morado'),</t>
  </si>
  <si>
    <t>('CRG07128','Chanitos Organic Banded Market Side Mexico'),</t>
  </si>
  <si>
    <t>('CRG07129','Chanitos Organic Banded Market Side EUA'),</t>
  </si>
  <si>
    <t>('CRG07130','Chanitos Organic  22XU CP28 Union'),</t>
  </si>
  <si>
    <t>('CRG07131','Chanitos Organic  22XU CP34 Union'),</t>
  </si>
  <si>
    <t>('CRG07132','Organic  Wild Harvest '),</t>
  </si>
  <si>
    <t>('CRG07133','Chanitos Organic  Wild Harvest PLU94011'),</t>
  </si>
  <si>
    <t>('CSA04120','Chanitos Cha Cha Cha (2da) Granel')</t>
  </si>
  <si>
    <t>A27</t>
  </si>
  <si>
    <t>Salim Rodriguez</t>
  </si>
  <si>
    <t>A01</t>
  </si>
  <si>
    <t>La Santanera</t>
  </si>
  <si>
    <t>A04</t>
  </si>
  <si>
    <t>Rafael Nava</t>
  </si>
  <si>
    <t>A11</t>
  </si>
  <si>
    <t>Sector Mazatan</t>
  </si>
  <si>
    <t>A35</t>
  </si>
  <si>
    <t>A05</t>
  </si>
  <si>
    <t>Plataneros Unidos</t>
  </si>
  <si>
    <t>B07</t>
  </si>
  <si>
    <t>B12</t>
  </si>
  <si>
    <t>Ramon Larios</t>
  </si>
  <si>
    <t>B01</t>
  </si>
  <si>
    <t>Ricamp</t>
  </si>
  <si>
    <t>B05</t>
  </si>
  <si>
    <t>Maria Elena</t>
  </si>
  <si>
    <t>B02</t>
  </si>
  <si>
    <t>Ochoa</t>
  </si>
  <si>
    <t>B14</t>
  </si>
  <si>
    <t>German Gomez</t>
  </si>
  <si>
    <t>B03</t>
  </si>
  <si>
    <t>Larifrut</t>
  </si>
  <si>
    <t>B20</t>
  </si>
  <si>
    <t>Jorge Garcia</t>
  </si>
  <si>
    <t>B06</t>
  </si>
  <si>
    <t>Jose Rivera</t>
  </si>
  <si>
    <t>B15</t>
  </si>
  <si>
    <t>Juan Valdivia</t>
  </si>
  <si>
    <t>B19</t>
  </si>
  <si>
    <t>Dulce Arceo</t>
  </si>
  <si>
    <t>C05</t>
  </si>
  <si>
    <t>Luis Olguin</t>
  </si>
  <si>
    <t>C01</t>
  </si>
  <si>
    <t>Finca Genesis</t>
  </si>
  <si>
    <t>C18</t>
  </si>
  <si>
    <t>C19</t>
  </si>
  <si>
    <t>Felipe Martinez Ruiz</t>
  </si>
  <si>
    <t>A36</t>
  </si>
  <si>
    <t>Herbert Blanco</t>
  </si>
  <si>
    <t>E06</t>
  </si>
  <si>
    <t>A26</t>
  </si>
  <si>
    <t>Manuel Tamayo</t>
  </si>
  <si>
    <t>A25</t>
  </si>
  <si>
    <t>Gerardo Turriza</t>
  </si>
  <si>
    <t>C11</t>
  </si>
  <si>
    <t>Javier Moreno</t>
  </si>
  <si>
    <t>B04</t>
  </si>
  <si>
    <t>Banamac</t>
  </si>
  <si>
    <t>A38</t>
  </si>
  <si>
    <t>Exal Moreno</t>
  </si>
  <si>
    <t>A39</t>
  </si>
  <si>
    <t>Nallely Gonzalez</t>
  </si>
  <si>
    <t>B21</t>
  </si>
  <si>
    <t>Aldo Rincon</t>
  </si>
  <si>
    <t>B22</t>
  </si>
  <si>
    <t>B23</t>
  </si>
  <si>
    <t>Fabiola Moreno</t>
  </si>
  <si>
    <t>A40</t>
  </si>
  <si>
    <t>Secundino Beitia</t>
  </si>
  <si>
    <t>A06</t>
  </si>
  <si>
    <t>Antelmo Sandoval</t>
  </si>
  <si>
    <t>B24</t>
  </si>
  <si>
    <t>Jorge Ochoa</t>
  </si>
  <si>
    <t>C09</t>
  </si>
  <si>
    <t>Josefa Gonzales</t>
  </si>
  <si>
    <t>C20</t>
  </si>
  <si>
    <t>Mardonio Morales Luna</t>
  </si>
  <si>
    <t>A08</t>
  </si>
  <si>
    <t>Obdulio Barrios</t>
  </si>
  <si>
    <t>C16</t>
  </si>
  <si>
    <t>Fabiola Pedrero</t>
  </si>
  <si>
    <t>C07</t>
  </si>
  <si>
    <t>Fernando Cano</t>
  </si>
  <si>
    <t>C04</t>
  </si>
  <si>
    <t>Jesus Castro</t>
  </si>
  <si>
    <t>A03</t>
  </si>
  <si>
    <t>Hugo de la Cruz</t>
  </si>
  <si>
    <t>A41</t>
  </si>
  <si>
    <t>A12</t>
  </si>
  <si>
    <t>Carlos Cigarroa</t>
  </si>
  <si>
    <t>A09</t>
  </si>
  <si>
    <t>Jair Velazquez</t>
  </si>
  <si>
    <t>B08</t>
  </si>
  <si>
    <t>Ramon Peña</t>
  </si>
  <si>
    <t>B25</t>
  </si>
  <si>
    <t>Deyvi Feliciano</t>
  </si>
  <si>
    <t>CODIGO</t>
  </si>
  <si>
    <t>ACTIVO</t>
  </si>
  <si>
    <t>'</t>
  </si>
  <si>
    <t>(</t>
  </si>
  <si>
    <t>)</t>
  </si>
  <si>
    <t>Codigo Proveedor</t>
  </si>
  <si>
    <t>Proveedor</t>
  </si>
  <si>
    <t>A02</t>
  </si>
  <si>
    <t>Eduardo Altuzar</t>
  </si>
  <si>
    <t>A24</t>
  </si>
  <si>
    <t>Romi Bananas</t>
  </si>
  <si>
    <t>A07</t>
  </si>
  <si>
    <t>Asake</t>
  </si>
  <si>
    <t>Ejido Miguel Aleman</t>
  </si>
  <si>
    <t>ejido Miguel A</t>
  </si>
  <si>
    <t>A10</t>
  </si>
  <si>
    <t>Rafael Partida</t>
  </si>
  <si>
    <t>A13</t>
  </si>
  <si>
    <t>Pedro Escobar</t>
  </si>
  <si>
    <t>A14</t>
  </si>
  <si>
    <t>Grupo Vasti</t>
  </si>
  <si>
    <t>A15</t>
  </si>
  <si>
    <t>Virgilio Moreno Reyes</t>
  </si>
  <si>
    <t>A16</t>
  </si>
  <si>
    <t>Coliman</t>
  </si>
  <si>
    <t>A17</t>
  </si>
  <si>
    <t>Rafael Hinojosa</t>
  </si>
  <si>
    <t>A18</t>
  </si>
  <si>
    <t>Ruben de la Cruz</t>
  </si>
  <si>
    <t>A20</t>
  </si>
  <si>
    <t>Sergio Abenamar</t>
  </si>
  <si>
    <t>A21</t>
  </si>
  <si>
    <t>Brandon Altuzar</t>
  </si>
  <si>
    <t>A22</t>
  </si>
  <si>
    <t>Arturo Gongora</t>
  </si>
  <si>
    <t>A23</t>
  </si>
  <si>
    <t>A28</t>
  </si>
  <si>
    <t>Juan Mendez</t>
  </si>
  <si>
    <t>A29</t>
  </si>
  <si>
    <t>Guadalupe Rodas Arreola</t>
  </si>
  <si>
    <t>A30</t>
  </si>
  <si>
    <t>Miguel Navarro</t>
  </si>
  <si>
    <t>A31</t>
  </si>
  <si>
    <t>Benjamin Perez</t>
  </si>
  <si>
    <t>A32</t>
  </si>
  <si>
    <t>Carlos Rasgado</t>
  </si>
  <si>
    <t>Jaime Llerena</t>
  </si>
  <si>
    <t>A33</t>
  </si>
  <si>
    <t>Alfredo Escobar</t>
  </si>
  <si>
    <t>A37</t>
  </si>
  <si>
    <t xml:space="preserve">Miguel Albores </t>
  </si>
  <si>
    <t>B3</t>
  </si>
  <si>
    <t>Erik Viveros</t>
  </si>
  <si>
    <t>b06</t>
  </si>
  <si>
    <t>B13</t>
  </si>
  <si>
    <t>Pedro Peña</t>
  </si>
  <si>
    <t>B09</t>
  </si>
  <si>
    <t>Christian Guerrero</t>
  </si>
  <si>
    <t>B18</t>
  </si>
  <si>
    <t>Sebastian Ochoa</t>
  </si>
  <si>
    <t>Coahuayana Michoacan</t>
  </si>
  <si>
    <t>C02</t>
  </si>
  <si>
    <t>Antonio Cruz</t>
  </si>
  <si>
    <t>C14</t>
  </si>
  <si>
    <t>C17</t>
  </si>
  <si>
    <t>Felipe de jesus Cervantes Ledezma</t>
  </si>
  <si>
    <t>D01</t>
  </si>
  <si>
    <t>Fernando Corro</t>
  </si>
  <si>
    <t>E01</t>
  </si>
  <si>
    <t>Moises Bautista Martinez</t>
  </si>
  <si>
    <t>E02</t>
  </si>
  <si>
    <t>Comercializadora Ranvel</t>
  </si>
  <si>
    <t>E03</t>
  </si>
  <si>
    <t>Dora Maria Martinez Rueda</t>
  </si>
  <si>
    <t>E04</t>
  </si>
  <si>
    <t>E05</t>
  </si>
  <si>
    <t>Banarana</t>
  </si>
  <si>
    <t>E07</t>
  </si>
  <si>
    <t>Leobardo Jair Velazquez Rangel</t>
  </si>
  <si>
    <t>E08</t>
  </si>
  <si>
    <t>Navafrut Maduraciones</t>
  </si>
  <si>
    <t>E09</t>
  </si>
  <si>
    <t>Margarita Roman Arroyo</t>
  </si>
  <si>
    <t>E10</t>
  </si>
  <si>
    <t>Santos Soberano</t>
  </si>
  <si>
    <t>E11</t>
  </si>
  <si>
    <t>Comercializadora Banamachos</t>
  </si>
  <si>
    <t>('A01','La Santanera',1),</t>
  </si>
  <si>
    <t>('A04','Rafael Nava',1),</t>
  </si>
  <si>
    <t>('A08','Obdulio Barrios',1),</t>
  </si>
  <si>
    <t>('A02','Eduardo Altuzar',1),</t>
  </si>
  <si>
    <t>('A25','Gerardo Turriza',1),</t>
  </si>
  <si>
    <t>('A03','Hugo de la Cruz',1),</t>
  </si>
  <si>
    <t>('A24','Romi Bananas',1),</t>
  </si>
  <si>
    <t>('A05','Plataneros Unidos',1),</t>
  </si>
  <si>
    <t>('A06','Antelmo Sandoval',1),</t>
  </si>
  <si>
    <t>('A11','Sector Mazatan',1),</t>
  </si>
  <si>
    <t>('A07','Asake',1),</t>
  </si>
  <si>
    <t>('A09','Ejido Miguel Aleman',),</t>
  </si>
  <si>
    <t>('A09','ejido Miguel A',),</t>
  </si>
  <si>
    <t>('A10','Rafael Partida',),</t>
  </si>
  <si>
    <t>('A11','Sector Mazatan',),</t>
  </si>
  <si>
    <t>('A12','Carlos Cigarroa',),</t>
  </si>
  <si>
    <t>('A13','Pedro Escobar',),</t>
  </si>
  <si>
    <t>('A14','Grupo Vasti',),</t>
  </si>
  <si>
    <t>('A15','Virgilio Moreno Reyes',),</t>
  </si>
  <si>
    <t>('A16','Coliman',),</t>
  </si>
  <si>
    <t>('A17','Rafael Hinojosa',),</t>
  </si>
  <si>
    <t>('A18','Ruben de la Cruz',),</t>
  </si>
  <si>
    <t>('A25','Gerardo Turriza',),</t>
  </si>
  <si>
    <t>('A20','Sergio Abenamar',),</t>
  </si>
  <si>
    <t>('A21','Brandon Altuzar',),</t>
  </si>
  <si>
    <t>('A22','Arturo Gongora',),</t>
  </si>
  <si>
    <t>('A23','Eduardo Altuzar',),</t>
  </si>
  <si>
    <t>('','',),</t>
  </si>
  <si>
    <t>('A27','Salim Rodriguez',),</t>
  </si>
  <si>
    <t>('A28','Juan Mendez',),</t>
  </si>
  <si>
    <t>('A29','Guadalupe Rodas Arreola',),</t>
  </si>
  <si>
    <t>('A30','Miguel Navarro',),</t>
  </si>
  <si>
    <t>('A26','Manuel Tamayo',),</t>
  </si>
  <si>
    <t>('A24','Romi Bananas',),</t>
  </si>
  <si>
    <t>('A31','Benjamin Perez',),</t>
  </si>
  <si>
    <t>('A03','Hugo de la Cruz',),</t>
  </si>
  <si>
    <t>('A32','Carlos Rasgado',),</t>
  </si>
  <si>
    <t>('A35','Jaime Llerena',),</t>
  </si>
  <si>
    <t>('A04','Rafael Nava',),</t>
  </si>
  <si>
    <t>('A02','Eduardo Altuzar',),</t>
  </si>
  <si>
    <t>('A33','Alfredo Escobar',),</t>
  </si>
  <si>
    <t>('A36','Herbert Blanco',),</t>
  </si>
  <si>
    <t>('A37','Miguel Albores ',),</t>
  </si>
  <si>
    <t>('A38','Exal Moreno',),</t>
  </si>
  <si>
    <t>('A39','Nallely Gonzalez',),</t>
  </si>
  <si>
    <t>('A40','Secundino Beitia',),</t>
  </si>
  <si>
    <t>('A41','Jair Velazquez',),</t>
  </si>
  <si>
    <t>('B03','Larifrut',),</t>
  </si>
  <si>
    <t>('B01','Ricamp',),</t>
  </si>
  <si>
    <t>('B04','Banamac',),</t>
  </si>
  <si>
    <t>('B12','Ramon Larios',),</t>
  </si>
  <si>
    <t>('B05','Maria Elena',),</t>
  </si>
  <si>
    <t>('B3','Larifrut',),</t>
  </si>
  <si>
    <t>('B24','Ochoa',),</t>
  </si>
  <si>
    <t>('B07','Erik Viveros',),</t>
  </si>
  <si>
    <t>('B02','Ochoa',),</t>
  </si>
  <si>
    <t>('B20','Jorge Garcia',),</t>
  </si>
  <si>
    <t>('B21','Aldo Rincon',),</t>
  </si>
  <si>
    <t>('b06','Jose Rivera',),</t>
  </si>
  <si>
    <t>('B15 ','Juan Valdivia',),</t>
  </si>
  <si>
    <t>('B15','Juan Valdivia',),</t>
  </si>
  <si>
    <t>('B08','Ramon Peña',),</t>
  </si>
  <si>
    <t>('B25','Deyvi Feliciano',),</t>
  </si>
  <si>
    <t>('B13','Ricamp',),</t>
  </si>
  <si>
    <t>('B13','Pedro Peña',),</t>
  </si>
  <si>
    <t>('B09','Christian Guerrero',),</t>
  </si>
  <si>
    <t>('B14','German Gomez',),</t>
  </si>
  <si>
    <t>('B18','Sebastian Ochoa',),</t>
  </si>
  <si>
    <t>('Ricamp','Coahuayana Michoacan',),</t>
  </si>
  <si>
    <t>('B19','Dulce Arceo',),</t>
  </si>
  <si>
    <t>('B05 ','Maria Elena',),</t>
  </si>
  <si>
    <t>('B23','Fabiola Moreno',),</t>
  </si>
  <si>
    <t>('B24','Jorge Ochoa',),</t>
  </si>
  <si>
    <t>('B15','Larifrut',),</t>
  </si>
  <si>
    <t>('C01','Finca Genesis',),</t>
  </si>
  <si>
    <t>('C02','Antonio Cruz',),</t>
  </si>
  <si>
    <t>('C20','Mardonio Morales Luna',),</t>
  </si>
  <si>
    <t>('C04','Jesus Castro',),</t>
  </si>
  <si>
    <t>('C05','Luis Olguin',),</t>
  </si>
  <si>
    <t>('C14','Fernando Cano',),</t>
  </si>
  <si>
    <t>('C09','Josefa Gonzales',),</t>
  </si>
  <si>
    <t>('C16','Fabiola Pedrero',),</t>
  </si>
  <si>
    <t>('C11','Javier Moreno',),</t>
  </si>
  <si>
    <t>('C17','Herbert Blanco',),</t>
  </si>
  <si>
    <t>('C07','Fernando Cano',),</t>
  </si>
  <si>
    <t>('C18','Felipe de jesus Cervantes Ledezma',),</t>
  </si>
  <si>
    <t>('C19','Felipe Martinez Ruiz',),</t>
  </si>
  <si>
    <t>('D01','Fernando Corro',),</t>
  </si>
  <si>
    <t>('E01','Moises Bautista Martinez',),</t>
  </si>
  <si>
    <t>('E02','Comercializadora Ranvel',),</t>
  </si>
  <si>
    <t>('E03','Dora Maria Martinez Rueda',),</t>
  </si>
  <si>
    <t>('E04','Gerardo Turriza',),</t>
  </si>
  <si>
    <t>('E05','Banarana',),</t>
  </si>
  <si>
    <t>('E06','Felipe Martinez Ruiz',),</t>
  </si>
  <si>
    <t>('E07','Leobardo Jair Velazquez Rangel',),</t>
  </si>
  <si>
    <t>('E08','Navafrut Maduraciones',),</t>
  </si>
  <si>
    <t>('E09','Margarita Roman Arroyo',),</t>
  </si>
  <si>
    <t>('E10','Santos Soberano',),</t>
  </si>
  <si>
    <t>('E11','Comercializadora Banamachos',),</t>
  </si>
  <si>
    <t>('A09','Ejido Miguel Aleman',1),</t>
  </si>
  <si>
    <t>('A10','Rafael Partida',1),</t>
  </si>
  <si>
    <t>('A12','Carlos Cigarroa',1),</t>
  </si>
  <si>
    <t>('A13','Pedro Escobar',1),</t>
  </si>
  <si>
    <t>('A14','Grupo Vasti',1),</t>
  </si>
  <si>
    <t>('A15','Virgilio Moreno Reyes',1),</t>
  </si>
  <si>
    <t>('A16','Coliman',1),</t>
  </si>
  <si>
    <t>('A17','Rafael Hinojosa',1),</t>
  </si>
  <si>
    <t>('A18','Ruben de la Cruz',1),</t>
  </si>
  <si>
    <t>('A20','Sergio Abenamar',1),</t>
  </si>
  <si>
    <t>('A21','Brandon Altuzar',1),</t>
  </si>
  <si>
    <t>('A22','Arturo Gongora',1),</t>
  </si>
  <si>
    <t>('A23','Eduardo Altuzar',1),</t>
  </si>
  <si>
    <t>('A27','Salim Rodriguez',1),</t>
  </si>
  <si>
    <t>('A28','Juan Mendez',1),</t>
  </si>
  <si>
    <t>('A29','Guadalupe Rodas Arreola',1),</t>
  </si>
  <si>
    <t>('A30','Miguel Navarro',1),</t>
  </si>
  <si>
    <t>('A26','Manuel Tamayo',1),</t>
  </si>
  <si>
    <t>('A31','Benjamin Perez',1),</t>
  </si>
  <si>
    <t>('A32','Carlos Rasgado',1),</t>
  </si>
  <si>
    <t>('A35','Jaime Llerena',1),</t>
  </si>
  <si>
    <t>('A33','Alfredo Escobar',1),</t>
  </si>
  <si>
    <t>('A36','Herbert Blanco',1),</t>
  </si>
  <si>
    <t>('A37','Miguel Albores ',1),</t>
  </si>
  <si>
    <t>('A38','Exal Moreno',1),</t>
  </si>
  <si>
    <t>('A39','Nallely Gonzalez',1),</t>
  </si>
  <si>
    <t>('A40','Secundino Beitia',1),</t>
  </si>
  <si>
    <t>('A41','Jair Velazquez',1),</t>
  </si>
  <si>
    <t>('B03','Larifrut',1),</t>
  </si>
  <si>
    <t>('B01','Ricamp',1),</t>
  </si>
  <si>
    <t>('B04','Banamac',1),</t>
  </si>
  <si>
    <t>('B12','Ramon Larios',1),</t>
  </si>
  <si>
    <t>('B05','Maria Elena',1),</t>
  </si>
  <si>
    <t>('B07','Erik Viveros',1),</t>
  </si>
  <si>
    <t>('B02','Ochoa',1),</t>
  </si>
  <si>
    <t>('B20','Jorge Garcia',1),</t>
  </si>
  <si>
    <t>('B21','Aldo Rincon',1),</t>
  </si>
  <si>
    <t>('B15','Juan Valdivia',1),</t>
  </si>
  <si>
    <t>('B08','Ramon Peña',1),</t>
  </si>
  <si>
    <t>('B25','Deyvi Feliciano',1),</t>
  </si>
  <si>
    <t>('B13','Ricamp',1),</t>
  </si>
  <si>
    <t>('B09','Christian Guerrero',1),</t>
  </si>
  <si>
    <t>('B14','German Gomez',1),</t>
  </si>
  <si>
    <t>('B18','Sebastian Ochoa',1),</t>
  </si>
  <si>
    <t>('B06','Jose Rivera',1),</t>
  </si>
  <si>
    <t>('B19','Dulce Arceo',1),</t>
  </si>
  <si>
    <t>('B23','Fabiola Moreno',1),</t>
  </si>
  <si>
    <t>('B24','Jorge Ochoa',1),</t>
  </si>
  <si>
    <t>('C01','Finca Genesis',1),</t>
  </si>
  <si>
    <t>('C02','Antonio Cruz',1),</t>
  </si>
  <si>
    <t>('C20','Mardonio Morales Luna',1),</t>
  </si>
  <si>
    <t>('C04','Jesus Castro',1),</t>
  </si>
  <si>
    <t>('C05','Luis Olguin',1),</t>
  </si>
  <si>
    <t>('C14','Fernando Cano',1),</t>
  </si>
  <si>
    <t>('C09','Josefa Gonzales',1),</t>
  </si>
  <si>
    <t>('C16','Fabiola Pedrero',1),</t>
  </si>
  <si>
    <t>('C11','Javier Moreno',1),</t>
  </si>
  <si>
    <t>('C17','Herbert Blanco',1),</t>
  </si>
  <si>
    <t>('C07','Fernando Cano',1),</t>
  </si>
  <si>
    <t>('C18','Felipe de jesus Cervantes Ledezma',1),</t>
  </si>
  <si>
    <t>('C19','Felipe Martinez Ruiz',1),</t>
  </si>
  <si>
    <t>('D01','Fernando Corro',1),</t>
  </si>
  <si>
    <t>('E01','Moises Bautista Martinez',1),</t>
  </si>
  <si>
    <t>('E02','Comercializadora Ranvel',1),</t>
  </si>
  <si>
    <t>('E03','Dora Maria Martinez Rueda',1),</t>
  </si>
  <si>
    <t>('E04','Gerardo Turriza',1),</t>
  </si>
  <si>
    <t>('E05','Banarana',1),</t>
  </si>
  <si>
    <t>('E06','Felipe Martinez Ruiz',1),</t>
  </si>
  <si>
    <t>('E07','Leobardo Jair Velazquez Rangel',1),</t>
  </si>
  <si>
    <t>('E08','Navafrut Maduraciones',1),</t>
  </si>
  <si>
    <t>('E09','Margarita Roman Arroyo',1),</t>
  </si>
  <si>
    <t>('E10','Santos Soberano',1),</t>
  </si>
  <si>
    <t>('E11','Comercializadora Banamachos',1),</t>
  </si>
  <si>
    <t>'La Santanera'</t>
  </si>
  <si>
    <t>1)</t>
  </si>
  <si>
    <t>'Eduardo Altuzar'</t>
  </si>
  <si>
    <t>'Hugo de la Cruz'</t>
  </si>
  <si>
    <t>'Rafael Nava'</t>
  </si>
  <si>
    <t>'Plataneros Unidos'</t>
  </si>
  <si>
    <t>'Antelmo Sandoval'</t>
  </si>
  <si>
    <t>'Asake'</t>
  </si>
  <si>
    <t>'Obdulio Barrios'</t>
  </si>
  <si>
    <t>'Ejido Miguel Aleman'</t>
  </si>
  <si>
    <t>'Rafael Partida'</t>
  </si>
  <si>
    <t>'Sector Mazatan'</t>
  </si>
  <si>
    <t>'Carlos Cigarroa'</t>
  </si>
  <si>
    <t>'Pedro Escobar'</t>
  </si>
  <si>
    <t>'Grupo Vasti'</t>
  </si>
  <si>
    <t>'Virgilio Moreno Reyes'</t>
  </si>
  <si>
    <t>'Coliman'</t>
  </si>
  <si>
    <t>'Rafael Hinojosa'</t>
  </si>
  <si>
    <t>'Ruben de la Cruz'</t>
  </si>
  <si>
    <t>'Sergio Abenamar'</t>
  </si>
  <si>
    <t>'Brandon Altuzar'</t>
  </si>
  <si>
    <t>'Arturo Gongora'</t>
  </si>
  <si>
    <t>'Romi Bananas'</t>
  </si>
  <si>
    <t>'Gerardo Turriza'</t>
  </si>
  <si>
    <t>'Manuel Tamayo'</t>
  </si>
  <si>
    <t>'Salim Rodriguez'</t>
  </si>
  <si>
    <t>'Juan Mendez'</t>
  </si>
  <si>
    <t>'Guadalupe Rodas Arreola'</t>
  </si>
  <si>
    <t>'Miguel Navarro'</t>
  </si>
  <si>
    <t>'Benjamin Perez'</t>
  </si>
  <si>
    <t>'Carlos Rasgado'</t>
  </si>
  <si>
    <t>'Alfredo Escobar'</t>
  </si>
  <si>
    <t>'Jaime Llerena'</t>
  </si>
  <si>
    <t>'Herbert Blanco'</t>
  </si>
  <si>
    <t>'Miguel Albores '</t>
  </si>
  <si>
    <t>'Exal Moreno'</t>
  </si>
  <si>
    <t>'Nallely Gonzalez'</t>
  </si>
  <si>
    <t>'Secundino Beitia'</t>
  </si>
  <si>
    <t>'Jair Velazquez'</t>
  </si>
  <si>
    <t>'Ricamp'</t>
  </si>
  <si>
    <t>'Ochoa'</t>
  </si>
  <si>
    <t>'Larifrut'</t>
  </si>
  <si>
    <t>'Banamac'</t>
  </si>
  <si>
    <t>'Maria Elena'</t>
  </si>
  <si>
    <t>'Jose Rivera'</t>
  </si>
  <si>
    <t>'Erik Viveros'</t>
  </si>
  <si>
    <t>'Ramon Peña'</t>
  </si>
  <si>
    <t>'Christian Guerrero'</t>
  </si>
  <si>
    <t>'Ramon Larios'</t>
  </si>
  <si>
    <t>'German Gomez'</t>
  </si>
  <si>
    <t>'Juan Valdivia'</t>
  </si>
  <si>
    <t>'Sebastian Ochoa'</t>
  </si>
  <si>
    <t>'Dulce Arceo'</t>
  </si>
  <si>
    <t>'Jorge Garcia'</t>
  </si>
  <si>
    <t>'Aldo Rincon'</t>
  </si>
  <si>
    <t>'Fabiola Moreno'</t>
  </si>
  <si>
    <t>'Jorge Ochoa'</t>
  </si>
  <si>
    <t>'Deyvi Feliciano'</t>
  </si>
  <si>
    <t>'Finca Genesis'</t>
  </si>
  <si>
    <t>'Antonio Cruz'</t>
  </si>
  <si>
    <t>'Jesus Castro'</t>
  </si>
  <si>
    <t>'Luis Olguin'</t>
  </si>
  <si>
    <t>'Fernando Cano'</t>
  </si>
  <si>
    <t>'Josefa Gonzales'</t>
  </si>
  <si>
    <t>'Javier Moreno'</t>
  </si>
  <si>
    <t>'Fabiola Pedrero'</t>
  </si>
  <si>
    <t>'Felipe de jesus Cervantes Ledezma'</t>
  </si>
  <si>
    <t>'Felipe Martinez Ruiz'</t>
  </si>
  <si>
    <t>'Mardonio Morales Luna'</t>
  </si>
  <si>
    <t>'Fernando Corro'</t>
  </si>
  <si>
    <t>'Moises Bautista Martinez'</t>
  </si>
  <si>
    <t>'Comercializadora Ranvel'</t>
  </si>
  <si>
    <t>'Dora Maria Martinez Rueda'</t>
  </si>
  <si>
    <t>'Banarana'</t>
  </si>
  <si>
    <t>'Leobardo Jair Velazquez Rangel'</t>
  </si>
  <si>
    <t>'Navafrut Maduraciones'</t>
  </si>
  <si>
    <t>'Margarita Roman Arroyo'</t>
  </si>
  <si>
    <t>'Santos Soberano'</t>
  </si>
  <si>
    <t>'Comercializadora Banamachos'</t>
  </si>
  <si>
    <t>d</t>
  </si>
  <si>
    <t>s</t>
  </si>
  <si>
    <t>f</t>
  </si>
  <si>
    <t>g</t>
  </si>
  <si>
    <t>NOMBRE</t>
  </si>
  <si>
    <t>ZONA</t>
  </si>
  <si>
    <t>ID_PRODUCTOR</t>
  </si>
  <si>
    <t>ESTADO</t>
  </si>
  <si>
    <t>Marbella</t>
  </si>
  <si>
    <t>Fortaleza</t>
  </si>
  <si>
    <t>Doña Nelly</t>
  </si>
  <si>
    <t>La Ceiba</t>
  </si>
  <si>
    <t>Santa Fe</t>
  </si>
  <si>
    <t>El Cahua</t>
  </si>
  <si>
    <t>Romina</t>
  </si>
  <si>
    <t>La Gloria</t>
  </si>
  <si>
    <t>Carlota Nava</t>
  </si>
  <si>
    <t>El Triunfo Nava</t>
  </si>
  <si>
    <t>Santa Maria</t>
  </si>
  <si>
    <t>Lisboa</t>
  </si>
  <si>
    <t>Trinidad y Lindavista</t>
  </si>
  <si>
    <t>Plataneros Unidos 1</t>
  </si>
  <si>
    <t>Plataneros Unidos 2</t>
  </si>
  <si>
    <t>Plataneros Unidos 2 Cotan o Micros</t>
  </si>
  <si>
    <t>El Conde</t>
  </si>
  <si>
    <t>Nuestra señora</t>
  </si>
  <si>
    <t>San Joaquin</t>
  </si>
  <si>
    <t>Miguel Aleman 2</t>
  </si>
  <si>
    <t>San Isidro</t>
  </si>
  <si>
    <t>19 de Abril</t>
  </si>
  <si>
    <t>Composta</t>
  </si>
  <si>
    <t>Tiquisate 1</t>
  </si>
  <si>
    <t>Santa Elena</t>
  </si>
  <si>
    <t>Doña Mildred</t>
  </si>
  <si>
    <t>Vigor</t>
  </si>
  <si>
    <t>El Cuerudo GT</t>
  </si>
  <si>
    <t>Dorado  Nuevo</t>
  </si>
  <si>
    <t>Empaque 1 Diaz Ordaz</t>
  </si>
  <si>
    <t>Plantacion</t>
  </si>
  <si>
    <t>Empaque de Macho Ej Libertad</t>
  </si>
  <si>
    <t>Heidy</t>
  </si>
  <si>
    <t>Heavy</t>
  </si>
  <si>
    <t>Lagartero</t>
  </si>
  <si>
    <t>Esquipulas</t>
  </si>
  <si>
    <t>Cuauhtemoc</t>
  </si>
  <si>
    <t>Pitillo</t>
  </si>
  <si>
    <t>Chocokillo</t>
  </si>
  <si>
    <t>Aldo Bravo</t>
  </si>
  <si>
    <t>Jesus Mendoza</t>
  </si>
  <si>
    <t>Ada Nares</t>
  </si>
  <si>
    <t>Ticho</t>
  </si>
  <si>
    <t>Ricardo Botelo</t>
  </si>
  <si>
    <t>Orliz</t>
  </si>
  <si>
    <t>Las Fosas</t>
  </si>
  <si>
    <t>Soledad</t>
  </si>
  <si>
    <t>Rio WP</t>
  </si>
  <si>
    <t>Cahuite Ricamp</t>
  </si>
  <si>
    <t>Cahuite RPC</t>
  </si>
  <si>
    <t>Las Parotas</t>
  </si>
  <si>
    <t>Ticuiz</t>
  </si>
  <si>
    <t>Caspejo</t>
  </si>
  <si>
    <t>El Chical</t>
  </si>
  <si>
    <t>Castrejon</t>
  </si>
  <si>
    <t>Manuel Leiva</t>
  </si>
  <si>
    <t>Las 500</t>
  </si>
  <si>
    <t>Las Trancas</t>
  </si>
  <si>
    <t>Baltazar Campuzano</t>
  </si>
  <si>
    <t>Cabañas</t>
  </si>
  <si>
    <t>El Sueño</t>
  </si>
  <si>
    <t>Fabiola Moreno Ochoa</t>
  </si>
  <si>
    <t>Norma</t>
  </si>
  <si>
    <t>Botello</t>
  </si>
  <si>
    <t>El Minuto</t>
  </si>
  <si>
    <t>Alfonso salgado</t>
  </si>
  <si>
    <t>Guatepots</t>
  </si>
  <si>
    <t>Don Goyo</t>
  </si>
  <si>
    <t>La Peña</t>
  </si>
  <si>
    <t>La Escolar JR</t>
  </si>
  <si>
    <t>Chiclon Hector Tapia</t>
  </si>
  <si>
    <t>Moctezuma JG</t>
  </si>
  <si>
    <t>Montezuma</t>
  </si>
  <si>
    <t>Raul Ortega</t>
  </si>
  <si>
    <t>El Pilar</t>
  </si>
  <si>
    <t>Cofradia Ochoa</t>
  </si>
  <si>
    <t>Mariana 1</t>
  </si>
  <si>
    <t>Mariana 4</t>
  </si>
  <si>
    <t>Mariana 6</t>
  </si>
  <si>
    <t>Delfina</t>
  </si>
  <si>
    <t>Valle Nuevo 1</t>
  </si>
  <si>
    <t>Valle Nuevo 2</t>
  </si>
  <si>
    <t>Callejones la curva</t>
  </si>
  <si>
    <t>Mariana 2</t>
  </si>
  <si>
    <t>Ceiba</t>
  </si>
  <si>
    <t>Santa Rosa</t>
  </si>
  <si>
    <t>Cahuite</t>
  </si>
  <si>
    <t>La Coneja</t>
  </si>
  <si>
    <t>Los Cedros</t>
  </si>
  <si>
    <t>Zanja Prieta</t>
  </si>
  <si>
    <t>La Limonera</t>
  </si>
  <si>
    <t>San Jorge</t>
  </si>
  <si>
    <t>Colomo</t>
  </si>
  <si>
    <t>El Banco</t>
  </si>
  <si>
    <t>La Tostada</t>
  </si>
  <si>
    <t>La Lima</t>
  </si>
  <si>
    <t>Paraiso</t>
  </si>
  <si>
    <t>Nacho Fernandez</t>
  </si>
  <si>
    <t>Albercas</t>
  </si>
  <si>
    <t>Sapo de Oro MF</t>
  </si>
  <si>
    <t>Los Milagritos</t>
  </si>
  <si>
    <t>La Parcela Escolar</t>
  </si>
  <si>
    <t>Zapotan</t>
  </si>
  <si>
    <t>La mojonera</t>
  </si>
  <si>
    <t>La Popa</t>
  </si>
  <si>
    <t>Finca Las Hamacas</t>
  </si>
  <si>
    <t>El Bado</t>
  </si>
  <si>
    <t>Las 30</t>
  </si>
  <si>
    <t>Las Palmas</t>
  </si>
  <si>
    <t>Topete</t>
  </si>
  <si>
    <t>El Bajio</t>
  </si>
  <si>
    <t>Palmas</t>
  </si>
  <si>
    <t>Don Lupe</t>
  </si>
  <si>
    <t>El Espinal</t>
  </si>
  <si>
    <t>El Aguacate JL</t>
  </si>
  <si>
    <t>El Aguila</t>
  </si>
  <si>
    <t>Saucera</t>
  </si>
  <si>
    <t>Magaña</t>
  </si>
  <si>
    <t>El Rio Arif</t>
  </si>
  <si>
    <t>La Playa B4</t>
  </si>
  <si>
    <t>La Luna</t>
  </si>
  <si>
    <t>San Cristobal</t>
  </si>
  <si>
    <t>Parota, Banamac</t>
  </si>
  <si>
    <t>La Escondida</t>
  </si>
  <si>
    <t>El Rastro</t>
  </si>
  <si>
    <t>El Tesoro</t>
  </si>
  <si>
    <t>Paraiso 3</t>
  </si>
  <si>
    <t>Fernando Velazco</t>
  </si>
  <si>
    <t>Mario Garcia</t>
  </si>
  <si>
    <t>Agua Sanchez</t>
  </si>
  <si>
    <t>Leonarda</t>
  </si>
  <si>
    <t>La Guinea</t>
  </si>
  <si>
    <t>Jesus Campuzano</t>
  </si>
  <si>
    <t>El Palmar Gladis Garcia</t>
  </si>
  <si>
    <t>Paraiso 2</t>
  </si>
  <si>
    <t>Paraiso 1</t>
  </si>
  <si>
    <t>Pacifico</t>
  </si>
  <si>
    <t>Adan Ursua</t>
  </si>
  <si>
    <t>La Playa UE</t>
  </si>
  <si>
    <t>Playa UE</t>
  </si>
  <si>
    <t>San Vicente</t>
  </si>
  <si>
    <t>San Miguel Ojo de Agua</t>
  </si>
  <si>
    <t>El Vado</t>
  </si>
  <si>
    <t>Frutas Valle Abarca</t>
  </si>
  <si>
    <t>Hermanos Rivera (Jose Rivera)</t>
  </si>
  <si>
    <t>La Hermita</t>
  </si>
  <si>
    <t>La Lupita</t>
  </si>
  <si>
    <t>Puerta de Golpe</t>
  </si>
  <si>
    <t>Memin</t>
  </si>
  <si>
    <t>Las Guasimas</t>
  </si>
  <si>
    <t>La Perla del Rincon</t>
  </si>
  <si>
    <t>El Ejemplo</t>
  </si>
  <si>
    <t>El Ejemplo EV</t>
  </si>
  <si>
    <t>Zaragoza</t>
  </si>
  <si>
    <t>Los Cuartones</t>
  </si>
  <si>
    <t>El Venado EV</t>
  </si>
  <si>
    <t>La Guerita</t>
  </si>
  <si>
    <t>San Rafael</t>
  </si>
  <si>
    <t>La Laguna</t>
  </si>
  <si>
    <t>El Café</t>
  </si>
  <si>
    <t>El Saucito 1 GG</t>
  </si>
  <si>
    <t>Callejones</t>
  </si>
  <si>
    <t>El Saucito 2 GG</t>
  </si>
  <si>
    <t>Chanchopa</t>
  </si>
  <si>
    <t>La Laguna GG</t>
  </si>
  <si>
    <t>Camalote</t>
  </si>
  <si>
    <t>Los dos Hermanos Juan Valdivia</t>
  </si>
  <si>
    <t>La Ilusion</t>
  </si>
  <si>
    <t>Los Almendros</t>
  </si>
  <si>
    <t>Juan Rocha</t>
  </si>
  <si>
    <t>Cahuite Arceo</t>
  </si>
  <si>
    <t>Parota DA</t>
  </si>
  <si>
    <t>Nenitas</t>
  </si>
  <si>
    <t>Coahuayana</t>
  </si>
  <si>
    <t>Zaragoza 2</t>
  </si>
  <si>
    <t>Cahuite ES</t>
  </si>
  <si>
    <t>El Cahuite</t>
  </si>
  <si>
    <t>La Parcela Escolar LG</t>
  </si>
  <si>
    <t>Empaque Moreno</t>
  </si>
  <si>
    <t>Javier Leyva</t>
  </si>
  <si>
    <t>La Escolar</t>
  </si>
  <si>
    <t>Parotas JG</t>
  </si>
  <si>
    <t>Mariachi</t>
  </si>
  <si>
    <t>Ruben Bravo JG</t>
  </si>
  <si>
    <t>Laguna JG</t>
  </si>
  <si>
    <t>Raulin</t>
  </si>
  <si>
    <t>Cerrito de aguilar</t>
  </si>
  <si>
    <t>Caleras Moreno</t>
  </si>
  <si>
    <t>Ticuiz al Ogro JG</t>
  </si>
  <si>
    <t>Crucero del Ticuiz</t>
  </si>
  <si>
    <t>Las animas</t>
  </si>
  <si>
    <t>Los Patios</t>
  </si>
  <si>
    <t>Cofradia</t>
  </si>
  <si>
    <t>Cofradía</t>
  </si>
  <si>
    <t>Mariana 4 y 5</t>
  </si>
  <si>
    <t>Valle Nuevo</t>
  </si>
  <si>
    <t>Valle Nuevo  2</t>
  </si>
  <si>
    <t>Callejones 1</t>
  </si>
  <si>
    <t>Callejones La curva</t>
  </si>
  <si>
    <t>Mendoza</t>
  </si>
  <si>
    <t>La Reversa</t>
  </si>
  <si>
    <t>0G2</t>
  </si>
  <si>
    <t>Genesis 2</t>
  </si>
  <si>
    <t>0G3</t>
  </si>
  <si>
    <t>Genesis 3</t>
  </si>
  <si>
    <t>Jaguar</t>
  </si>
  <si>
    <t>Candelaria</t>
  </si>
  <si>
    <t>Tembladera</t>
  </si>
  <si>
    <t>El Tirol</t>
  </si>
  <si>
    <t>Santa Rosa FC</t>
  </si>
  <si>
    <t>San Jose Gonzales</t>
  </si>
  <si>
    <t>El Dolar</t>
  </si>
  <si>
    <t>Sabe Bananas</t>
  </si>
  <si>
    <t>Chela Bananas</t>
  </si>
  <si>
    <t>San Lorenzo</t>
  </si>
  <si>
    <t>El Macayo</t>
  </si>
  <si>
    <t>Cotan y Palmas altas</t>
  </si>
  <si>
    <t>CELESTE MORENO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</si>
</sst>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6"/>
      <name val="Arial Nova Cond Light"/>
      <family val="2"/>
    </font>
    <font>
      <sz val="18"/>
      <color theme="1"/>
      <name val="Arial Nova Cond Light"/>
      <family val="2"/>
    </font>
    <font>
      <sz val="18"/>
      <name val="Arial Nova Cond Light"/>
      <family val="2"/>
    </font>
    <font>
      <b/>
      <sz val="12"/>
      <name val="Arial Nova Cond Light"/>
      <family val="2"/>
    </font>
    <font>
      <sz val="12"/>
      <color theme="1"/>
      <name val="Arial Nova Cond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0" xfId="0" quotePrefix="1"/>
    <xf numFmtId="49" fontId="0" fillId="0" borderId="0" xfId="0" applyNumberFormat="1"/>
    <xf numFmtId="49" fontId="2" fillId="0" borderId="0" xfId="0" applyNumberFormat="1" applyFont="1" applyAlignment="1">
      <alignment horizontal="left"/>
    </xf>
    <xf numFmtId="49" fontId="1" fillId="4" borderId="0" xfId="0" applyNumberFormat="1" applyFont="1" applyFill="1" applyAlignment="1">
      <alignment horizontal="center" vertical="center" wrapText="1"/>
    </xf>
    <xf numFmtId="0" fontId="5" fillId="0" borderId="0" xfId="0" quotePrefix="1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57735D3-4CB6-41FF-BD5B-CFB75B4521F8}">
  <we:reference id="29673e3c-d826-4f00-92ee-162334a52b1a" version="1.0.0.8" store="EXCatalog" storeType="EXCatalog"/>
  <we:alternateReferences>
    <we:reference id="WA200009404" version="1.0.0.8" store="es-ES" storeType="OMEX"/>
  </we:alternateReferences>
  <we:properties>
    <we:property name="claude.fileId" value="&quot;ecdb9add-9160-415c-b97a-55945f34936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A902-F8BC-4EF1-9C6F-5CDCE4147FBA}">
  <dimension ref="A1:M4"/>
  <sheetViews>
    <sheetView workbookViewId="0">
      <selection activeCell="K4" sqref="K4"/>
    </sheetView>
  </sheetViews>
  <sheetFormatPr baseColWidth="10" defaultRowHeight="15" x14ac:dyDescent="0.25"/>
  <cols>
    <col min="1" max="1" width="20.7109375" customWidth="1"/>
    <col min="3" max="3" width="18.42578125" bestFit="1" customWidth="1"/>
    <col min="4" max="4" width="11.7109375" bestFit="1" customWidth="1"/>
    <col min="5" max="5" width="6" bestFit="1" customWidth="1"/>
    <col min="6" max="6" width="8.140625" bestFit="1" customWidth="1"/>
    <col min="7" max="7" width="10.140625" bestFit="1" customWidth="1"/>
    <col min="8" max="8" width="64.42578125" bestFit="1" customWidth="1"/>
    <col min="9" max="11" width="13" customWidth="1"/>
    <col min="12" max="12" width="13.5703125" customWidth="1"/>
    <col min="13" max="13" width="13" customWidth="1"/>
  </cols>
  <sheetData>
    <row r="1" spans="1:13" x14ac:dyDescent="0.25">
      <c r="D1" s="17" t="s">
        <v>17</v>
      </c>
      <c r="E1" s="17"/>
      <c r="F1" s="17"/>
      <c r="G1" s="17"/>
      <c r="H1" s="17"/>
      <c r="I1" s="18" t="s">
        <v>18</v>
      </c>
      <c r="J1" s="18"/>
      <c r="K1" s="18"/>
      <c r="L1" s="18"/>
      <c r="M1" s="18"/>
    </row>
    <row r="2" spans="1:13" ht="31.5" customHeight="1" x14ac:dyDescent="0.25">
      <c r="A2" s="1" t="s">
        <v>0</v>
      </c>
      <c r="B2" s="1" t="s">
        <v>3</v>
      </c>
      <c r="C2" s="1" t="s">
        <v>7</v>
      </c>
      <c r="D2" s="1" t="s">
        <v>14</v>
      </c>
      <c r="E2" s="1" t="s">
        <v>15</v>
      </c>
      <c r="F2" s="1" t="s">
        <v>8</v>
      </c>
      <c r="G2" s="1" t="s">
        <v>9</v>
      </c>
      <c r="H2" s="1" t="s">
        <v>16</v>
      </c>
      <c r="I2" s="2" t="s">
        <v>19</v>
      </c>
      <c r="J2" s="2" t="s">
        <v>21</v>
      </c>
      <c r="K2" s="2" t="s">
        <v>20</v>
      </c>
      <c r="L2" s="2" t="s">
        <v>652</v>
      </c>
      <c r="M2" s="2" t="s">
        <v>22</v>
      </c>
    </row>
    <row r="3" spans="1:13" x14ac:dyDescent="0.25">
      <c r="A3" t="s">
        <v>1</v>
      </c>
      <c r="B3" t="s">
        <v>4</v>
      </c>
      <c r="C3" t="s">
        <v>5</v>
      </c>
      <c r="D3" t="s">
        <v>10</v>
      </c>
      <c r="E3">
        <v>30665</v>
      </c>
      <c r="F3">
        <v>14.997299999999999</v>
      </c>
      <c r="G3">
        <v>-92.49803</v>
      </c>
      <c r="H3" t="s">
        <v>11</v>
      </c>
      <c r="I3">
        <v>70</v>
      </c>
      <c r="J3">
        <v>3360</v>
      </c>
      <c r="K3">
        <v>12</v>
      </c>
      <c r="L3">
        <v>2</v>
      </c>
      <c r="M3">
        <v>576</v>
      </c>
    </row>
    <row r="4" spans="1:13" x14ac:dyDescent="0.25">
      <c r="A4" t="s">
        <v>2</v>
      </c>
      <c r="B4" t="s">
        <v>4</v>
      </c>
      <c r="C4" t="s">
        <v>6</v>
      </c>
      <c r="D4" t="s">
        <v>12</v>
      </c>
      <c r="E4">
        <v>30650</v>
      </c>
      <c r="F4">
        <v>14.9398</v>
      </c>
      <c r="G4">
        <v>-92.514799999999994</v>
      </c>
      <c r="H4" t="s">
        <v>13</v>
      </c>
      <c r="I4">
        <v>100</v>
      </c>
      <c r="J4">
        <v>4800</v>
      </c>
      <c r="K4">
        <v>10</v>
      </c>
      <c r="L4">
        <v>2</v>
      </c>
      <c r="M4">
        <v>480</v>
      </c>
    </row>
  </sheetData>
  <mergeCells count="2">
    <mergeCell ref="D1:H1"/>
    <mergeCell ref="I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1A0F3-0727-46BE-AF1B-1333F80826B4}">
  <sheetPr filterMode="1"/>
  <dimension ref="A1:I42"/>
  <sheetViews>
    <sheetView workbookViewId="0">
      <pane ySplit="1" topLeftCell="A4" activePane="bottomLeft" state="frozen"/>
      <selection pane="bottomLeft" activeCell="D1" sqref="D1"/>
    </sheetView>
  </sheetViews>
  <sheetFormatPr baseColWidth="10" defaultRowHeight="15" x14ac:dyDescent="0.25"/>
  <cols>
    <col min="1" max="1" width="29.5703125" customWidth="1"/>
    <col min="2" max="2" width="38.42578125" bestFit="1" customWidth="1"/>
    <col min="3" max="4" width="27.42578125" customWidth="1"/>
  </cols>
  <sheetData>
    <row r="1" spans="1:9" ht="15.75" x14ac:dyDescent="0.25">
      <c r="A1" s="4" t="s">
        <v>56</v>
      </c>
      <c r="B1" s="4" t="s">
        <v>23</v>
      </c>
      <c r="C1" s="4" t="s">
        <v>55</v>
      </c>
      <c r="D1" s="4"/>
    </row>
    <row r="2" spans="1:9" ht="15.75" hidden="1" x14ac:dyDescent="0.25">
      <c r="A2" s="5" t="s">
        <v>32</v>
      </c>
      <c r="B2" s="5" t="s">
        <v>42</v>
      </c>
      <c r="C2" s="5" t="s">
        <v>57</v>
      </c>
      <c r="D2" s="5">
        <v>1</v>
      </c>
      <c r="E2" s="5" t="s">
        <v>784</v>
      </c>
      <c r="F2" s="16" t="s">
        <v>783</v>
      </c>
      <c r="G2" s="5" t="s">
        <v>654</v>
      </c>
      <c r="H2" s="5" t="s">
        <v>785</v>
      </c>
      <c r="I2" t="str">
        <f>+E2&amp;F2&amp;A2&amp;F2&amp;G2&amp;F2&amp;B2&amp;F2&amp;G2&amp;F2&amp;C2&amp;F2&amp;H2&amp;G2</f>
        <v>('CEDIS CHIHUAHUA','CHIHUAHUA','CHH'),</v>
      </c>
    </row>
    <row r="3" spans="1:9" ht="15.75" hidden="1" x14ac:dyDescent="0.25">
      <c r="A3" s="5" t="s">
        <v>29</v>
      </c>
      <c r="B3" s="5" t="s">
        <v>41</v>
      </c>
      <c r="C3" s="5" t="s">
        <v>58</v>
      </c>
      <c r="D3" s="5">
        <v>2</v>
      </c>
      <c r="E3" s="5" t="s">
        <v>784</v>
      </c>
      <c r="F3" s="16" t="s">
        <v>783</v>
      </c>
      <c r="G3" s="5" t="s">
        <v>654</v>
      </c>
      <c r="H3" s="5" t="s">
        <v>785</v>
      </c>
      <c r="I3" t="str">
        <f t="shared" ref="I3:I42" si="0">+E3&amp;F3&amp;A3&amp;F3&amp;G3&amp;F3&amp;B3&amp;F3&amp;G3&amp;F3&amp;C3&amp;F3&amp;H3&amp;G3</f>
        <v>('CENTRAL DE ABASTO','IZTAPALAPA','CEDA IZT'),</v>
      </c>
    </row>
    <row r="4" spans="1:9" ht="15.75" hidden="1" x14ac:dyDescent="0.25">
      <c r="A4" s="5" t="s">
        <v>29</v>
      </c>
      <c r="B4" s="5" t="s">
        <v>44</v>
      </c>
      <c r="C4" s="5" t="s">
        <v>59</v>
      </c>
      <c r="D4" s="5">
        <v>3</v>
      </c>
      <c r="E4" s="5" t="s">
        <v>784</v>
      </c>
      <c r="F4" s="16" t="s">
        <v>783</v>
      </c>
      <c r="G4" s="5" t="s">
        <v>654</v>
      </c>
      <c r="H4" s="5" t="s">
        <v>785</v>
      </c>
      <c r="I4" t="str">
        <f t="shared" si="0"/>
        <v>('CENTRAL DE ABASTO','TULTITLAN','CEDA TULTI'),</v>
      </c>
    </row>
    <row r="5" spans="1:9" ht="15.75" hidden="1" x14ac:dyDescent="0.25">
      <c r="A5" s="5" t="s">
        <v>39</v>
      </c>
      <c r="B5" s="5" t="s">
        <v>40</v>
      </c>
      <c r="C5" s="5" t="s">
        <v>60</v>
      </c>
      <c r="D5" s="5">
        <v>4</v>
      </c>
      <c r="E5" s="5" t="s">
        <v>784</v>
      </c>
      <c r="F5" s="16" t="s">
        <v>783</v>
      </c>
      <c r="G5" s="5" t="s">
        <v>654</v>
      </c>
      <c r="H5" s="5" t="s">
        <v>785</v>
      </c>
      <c r="I5" t="str">
        <f t="shared" si="0"/>
        <v>('CENTRAL PLATANERA','CIUDAD JUAREZ','CDA JUAREZ'),</v>
      </c>
    </row>
    <row r="6" spans="1:9" ht="15.75" hidden="1" x14ac:dyDescent="0.25">
      <c r="A6" s="5" t="s">
        <v>34</v>
      </c>
      <c r="B6" s="5" t="s">
        <v>43</v>
      </c>
      <c r="C6" s="5" t="s">
        <v>61</v>
      </c>
      <c r="D6" s="5">
        <v>5</v>
      </c>
      <c r="E6" s="5" t="s">
        <v>784</v>
      </c>
      <c r="F6" s="16" t="s">
        <v>783</v>
      </c>
      <c r="G6" s="5" t="s">
        <v>654</v>
      </c>
      <c r="H6" s="5" t="s">
        <v>785</v>
      </c>
      <c r="I6" t="str">
        <f t="shared" si="0"/>
        <v>('CHANITOS INTERNATIONAL','MC ALLEN','MC ALLEN INT'),</v>
      </c>
    </row>
    <row r="7" spans="1:9" ht="15.75" hidden="1" x14ac:dyDescent="0.25">
      <c r="A7" s="5" t="s">
        <v>38</v>
      </c>
      <c r="B7" s="5" t="s">
        <v>45</v>
      </c>
      <c r="C7" s="5" t="s">
        <v>62</v>
      </c>
      <c r="D7" s="5">
        <v>6</v>
      </c>
      <c r="E7" s="5" t="s">
        <v>784</v>
      </c>
      <c r="F7" s="16" t="s">
        <v>783</v>
      </c>
      <c r="G7" s="5" t="s">
        <v>654</v>
      </c>
      <c r="H7" s="5" t="s">
        <v>785</v>
      </c>
      <c r="I7" t="str">
        <f t="shared" si="0"/>
        <v>('CHEDRAUI','ZUMPANGO','CHEDRAUI ZUM'),</v>
      </c>
    </row>
    <row r="8" spans="1:9" ht="15.75" hidden="1" x14ac:dyDescent="0.25">
      <c r="A8" s="5" t="s">
        <v>33</v>
      </c>
      <c r="B8" s="5" t="s">
        <v>33</v>
      </c>
      <c r="C8" s="5" t="s">
        <v>33</v>
      </c>
      <c r="D8" s="5">
        <v>7</v>
      </c>
      <c r="E8" s="5" t="s">
        <v>784</v>
      </c>
      <c r="F8" s="16" t="s">
        <v>783</v>
      </c>
      <c r="G8" s="5" t="s">
        <v>654</v>
      </c>
      <c r="H8" s="5" t="s">
        <v>785</v>
      </c>
      <c r="I8" t="str">
        <f t="shared" si="0"/>
        <v>('JAPON','JAPON','JAPON'),</v>
      </c>
    </row>
    <row r="9" spans="1:9" ht="15.75" hidden="1" x14ac:dyDescent="0.25">
      <c r="A9" s="5" t="s">
        <v>25</v>
      </c>
      <c r="B9" s="5" t="s">
        <v>52</v>
      </c>
      <c r="C9" s="5" t="s">
        <v>63</v>
      </c>
      <c r="D9" s="5">
        <v>8</v>
      </c>
      <c r="E9" s="5" t="s">
        <v>784</v>
      </c>
      <c r="F9" s="16" t="s">
        <v>783</v>
      </c>
      <c r="G9" s="5" t="s">
        <v>654</v>
      </c>
      <c r="H9" s="5" t="s">
        <v>785</v>
      </c>
      <c r="I9" t="str">
        <f t="shared" si="0"/>
        <v>('LOCAL','TAPACHULA','LOCAL TAP'),</v>
      </c>
    </row>
    <row r="10" spans="1:9" ht="15.75" hidden="1" x14ac:dyDescent="0.25">
      <c r="A10" s="5" t="s">
        <v>25</v>
      </c>
      <c r="B10" s="5" t="s">
        <v>53</v>
      </c>
      <c r="C10" s="5" t="s">
        <v>64</v>
      </c>
      <c r="D10" s="5">
        <v>9</v>
      </c>
      <c r="E10" s="5" t="s">
        <v>784</v>
      </c>
      <c r="F10" s="16" t="s">
        <v>783</v>
      </c>
      <c r="G10" s="5" t="s">
        <v>654</v>
      </c>
      <c r="H10" s="5" t="s">
        <v>785</v>
      </c>
      <c r="I10" t="str">
        <f t="shared" si="0"/>
        <v>('LOCAL','COLIMA','LOCAL COL'),</v>
      </c>
    </row>
    <row r="11" spans="1:9" ht="15.75" hidden="1" x14ac:dyDescent="0.25">
      <c r="A11" s="5" t="s">
        <v>25</v>
      </c>
      <c r="B11" s="5" t="s">
        <v>54</v>
      </c>
      <c r="C11" s="5" t="s">
        <v>65</v>
      </c>
      <c r="D11" s="5">
        <v>10</v>
      </c>
      <c r="E11" s="5" t="s">
        <v>784</v>
      </c>
      <c r="F11" s="16" t="s">
        <v>783</v>
      </c>
      <c r="G11" s="5" t="s">
        <v>654</v>
      </c>
      <c r="H11" s="5" t="s">
        <v>785</v>
      </c>
      <c r="I11" t="str">
        <f t="shared" si="0"/>
        <v>('LOCAL','TABASCO','LOCAL TAB'),</v>
      </c>
    </row>
    <row r="12" spans="1:9" ht="15.75" hidden="1" x14ac:dyDescent="0.25">
      <c r="A12" s="5" t="s">
        <v>31</v>
      </c>
      <c r="B12" s="5" t="s">
        <v>28</v>
      </c>
      <c r="C12" s="5" t="s">
        <v>66</v>
      </c>
      <c r="D12" s="5">
        <v>11</v>
      </c>
      <c r="E12" s="5" t="s">
        <v>784</v>
      </c>
      <c r="F12" s="16" t="s">
        <v>783</v>
      </c>
      <c r="G12" s="5" t="s">
        <v>654</v>
      </c>
      <c r="H12" s="5" t="s">
        <v>785</v>
      </c>
      <c r="I12" t="str">
        <f t="shared" si="0"/>
        <v>('NUEVA WALMART','CHALCO','WM CHALCO'),</v>
      </c>
    </row>
    <row r="13" spans="1:9" ht="15.75" hidden="1" x14ac:dyDescent="0.25">
      <c r="A13" s="5" t="s">
        <v>31</v>
      </c>
      <c r="B13" s="5" t="s">
        <v>46</v>
      </c>
      <c r="C13" s="5" t="s">
        <v>67</v>
      </c>
      <c r="D13" s="5">
        <v>12</v>
      </c>
      <c r="E13" s="5" t="s">
        <v>784</v>
      </c>
      <c r="F13" s="16" t="s">
        <v>783</v>
      </c>
      <c r="G13" s="5" t="s">
        <v>654</v>
      </c>
      <c r="H13" s="5" t="s">
        <v>785</v>
      </c>
      <c r="I13" t="str">
        <f t="shared" si="0"/>
        <v>('NUEVA WALMART','CULIACAN','WM CLN'),</v>
      </c>
    </row>
    <row r="14" spans="1:9" ht="15.75" hidden="1" x14ac:dyDescent="0.25">
      <c r="A14" s="5" t="s">
        <v>31</v>
      </c>
      <c r="B14" s="5" t="s">
        <v>47</v>
      </c>
      <c r="C14" s="5" t="s">
        <v>68</v>
      </c>
      <c r="D14" s="5">
        <v>13</v>
      </c>
      <c r="E14" s="5" t="s">
        <v>784</v>
      </c>
      <c r="F14" s="16" t="s">
        <v>783</v>
      </c>
      <c r="G14" s="5" t="s">
        <v>654</v>
      </c>
      <c r="H14" s="5" t="s">
        <v>785</v>
      </c>
      <c r="I14" t="str">
        <f t="shared" si="0"/>
        <v>('NUEVA WALMART','GUADALAJARA','WM GDL'),</v>
      </c>
    </row>
    <row r="15" spans="1:9" ht="15.75" hidden="1" x14ac:dyDescent="0.25">
      <c r="A15" s="5" t="s">
        <v>31</v>
      </c>
      <c r="B15" s="5" t="s">
        <v>48</v>
      </c>
      <c r="C15" s="5" t="s">
        <v>69</v>
      </c>
      <c r="D15" s="5">
        <v>14</v>
      </c>
      <c r="E15" s="5" t="s">
        <v>784</v>
      </c>
      <c r="F15" s="16" t="s">
        <v>783</v>
      </c>
      <c r="G15" s="5" t="s">
        <v>654</v>
      </c>
      <c r="H15" s="5" t="s">
        <v>785</v>
      </c>
      <c r="I15" t="str">
        <f t="shared" si="0"/>
        <v>('NUEVA WALMART','MONTERREY','WM MTY'),</v>
      </c>
    </row>
    <row r="16" spans="1:9" ht="15.75" hidden="1" x14ac:dyDescent="0.25">
      <c r="A16" s="5" t="s">
        <v>31</v>
      </c>
      <c r="B16" s="5" t="s">
        <v>49</v>
      </c>
      <c r="C16" s="5" t="s">
        <v>70</v>
      </c>
      <c r="D16" s="5">
        <v>15</v>
      </c>
      <c r="E16" s="5" t="s">
        <v>784</v>
      </c>
      <c r="F16" s="16" t="s">
        <v>783</v>
      </c>
      <c r="G16" s="5" t="s">
        <v>654</v>
      </c>
      <c r="H16" s="5" t="s">
        <v>785</v>
      </c>
      <c r="I16" t="str">
        <f t="shared" si="0"/>
        <v>('NUEVA WALMART','QUERETARO','WM QRO'),</v>
      </c>
    </row>
    <row r="17" spans="1:9" ht="15.75" hidden="1" x14ac:dyDescent="0.25">
      <c r="A17" s="5" t="s">
        <v>31</v>
      </c>
      <c r="B17" s="5" t="s">
        <v>50</v>
      </c>
      <c r="C17" s="5" t="s">
        <v>71</v>
      </c>
      <c r="D17" s="5">
        <v>16</v>
      </c>
      <c r="E17" s="5" t="s">
        <v>784</v>
      </c>
      <c r="F17" s="16" t="s">
        <v>783</v>
      </c>
      <c r="G17" s="5" t="s">
        <v>654</v>
      </c>
      <c r="H17" s="5" t="s">
        <v>785</v>
      </c>
      <c r="I17" t="str">
        <f t="shared" si="0"/>
        <v>('NUEVA WALMART','SAN MARTIN DE OBISPO','WM SMO'),</v>
      </c>
    </row>
    <row r="18" spans="1:9" ht="15.75" hidden="1" x14ac:dyDescent="0.25">
      <c r="A18" s="5" t="s">
        <v>31</v>
      </c>
      <c r="B18" s="5" t="s">
        <v>51</v>
      </c>
      <c r="C18" s="5" t="s">
        <v>72</v>
      </c>
      <c r="D18" s="5">
        <v>17</v>
      </c>
      <c r="E18" s="5" t="s">
        <v>784</v>
      </c>
      <c r="F18" s="16" t="s">
        <v>783</v>
      </c>
      <c r="G18" s="5" t="s">
        <v>654</v>
      </c>
      <c r="H18" s="5" t="s">
        <v>785</v>
      </c>
      <c r="I18" t="str">
        <f t="shared" si="0"/>
        <v>('NUEVA WALMART','VILLAHERMOSA','WM VSA'),</v>
      </c>
    </row>
    <row r="19" spans="1:9" ht="15.75" x14ac:dyDescent="0.25">
      <c r="A19" s="5" t="s">
        <v>36</v>
      </c>
      <c r="B19" s="5" t="s">
        <v>36</v>
      </c>
      <c r="C19" s="5" t="s">
        <v>36</v>
      </c>
      <c r="D19" s="5">
        <v>18</v>
      </c>
      <c r="E19" s="5" t="s">
        <v>784</v>
      </c>
      <c r="F19" s="16" t="s">
        <v>783</v>
      </c>
      <c r="G19" s="5" t="s">
        <v>654</v>
      </c>
      <c r="H19" s="5" t="s">
        <v>785</v>
      </c>
      <c r="I19" t="str">
        <f t="shared" si="0"/>
        <v>('PATROCINIO','PATROCINIO','PATROCINIO'),</v>
      </c>
    </row>
    <row r="20" spans="1:9" ht="15.75" hidden="1" x14ac:dyDescent="0.25">
      <c r="A20" s="5" t="s">
        <v>30</v>
      </c>
      <c r="B20" s="5" t="s">
        <v>40</v>
      </c>
      <c r="C20" s="5" t="s">
        <v>73</v>
      </c>
      <c r="D20" s="5">
        <v>19</v>
      </c>
      <c r="E20" s="5" t="s">
        <v>784</v>
      </c>
      <c r="F20" s="16" t="s">
        <v>783</v>
      </c>
      <c r="G20" s="5" t="s">
        <v>654</v>
      </c>
      <c r="H20" s="5" t="s">
        <v>785</v>
      </c>
      <c r="I20" t="str">
        <f t="shared" si="0"/>
        <v>('S-MART','CIUDAD JUAREZ','S-MART CD JUAREZ'),</v>
      </c>
    </row>
    <row r="21" spans="1:9" ht="15.75" hidden="1" x14ac:dyDescent="0.25">
      <c r="A21" s="5" t="s">
        <v>30</v>
      </c>
      <c r="B21" s="5" t="s">
        <v>48</v>
      </c>
      <c r="C21" s="5" t="s">
        <v>74</v>
      </c>
      <c r="D21" s="5">
        <v>20</v>
      </c>
      <c r="E21" s="5" t="s">
        <v>784</v>
      </c>
      <c r="F21" s="16" t="s">
        <v>783</v>
      </c>
      <c r="G21" s="5" t="s">
        <v>654</v>
      </c>
      <c r="H21" s="5" t="s">
        <v>785</v>
      </c>
      <c r="I21" t="str">
        <f t="shared" si="0"/>
        <v>('S-MART','MONTERREY','S-MART MTY'),</v>
      </c>
    </row>
    <row r="22" spans="1:9" ht="15.75" hidden="1" x14ac:dyDescent="0.25">
      <c r="A22" s="5" t="s">
        <v>37</v>
      </c>
      <c r="B22" s="5" t="s">
        <v>37</v>
      </c>
      <c r="C22" s="5" t="s">
        <v>37</v>
      </c>
      <c r="D22" s="5">
        <v>21</v>
      </c>
      <c r="E22" s="5" t="s">
        <v>784</v>
      </c>
      <c r="F22" s="16" t="s">
        <v>783</v>
      </c>
      <c r="G22" s="5" t="s">
        <v>654</v>
      </c>
      <c r="H22" s="5" t="s">
        <v>785</v>
      </c>
      <c r="I22" t="str">
        <f t="shared" si="0"/>
        <v>('SORIANA','SORIANA','SORIANA'),</v>
      </c>
    </row>
    <row r="23" spans="1:9" ht="15.75" hidden="1" x14ac:dyDescent="0.25">
      <c r="A23" s="5" t="s">
        <v>52</v>
      </c>
      <c r="B23" s="5" t="s">
        <v>52</v>
      </c>
      <c r="C23" s="5" t="s">
        <v>52</v>
      </c>
      <c r="D23" s="5">
        <v>22</v>
      </c>
      <c r="E23" s="5" t="s">
        <v>784</v>
      </c>
      <c r="F23" s="16" t="s">
        <v>783</v>
      </c>
      <c r="G23" s="5" t="s">
        <v>654</v>
      </c>
      <c r="H23" s="5" t="s">
        <v>785</v>
      </c>
      <c r="I23" t="str">
        <f t="shared" si="0"/>
        <v>('TAPACHULA','TAPACHULA','TAPACHULA'),</v>
      </c>
    </row>
    <row r="24" spans="1:9" ht="15.75" hidden="1" x14ac:dyDescent="0.25">
      <c r="A24" s="5" t="s">
        <v>35</v>
      </c>
      <c r="B24" s="5" t="s">
        <v>43</v>
      </c>
      <c r="C24" s="5" t="s">
        <v>75</v>
      </c>
      <c r="D24" s="5">
        <v>23</v>
      </c>
      <c r="E24" s="5" t="s">
        <v>784</v>
      </c>
      <c r="F24" s="16" t="s">
        <v>783</v>
      </c>
      <c r="G24" s="5" t="s">
        <v>654</v>
      </c>
      <c r="H24" s="5" t="s">
        <v>785</v>
      </c>
      <c r="I24" t="str">
        <f t="shared" si="0"/>
        <v>('UNITED NATURAL FOODS, INC','MC ALLEN','MC ALLEN UNFI'),</v>
      </c>
    </row>
    <row r="25" spans="1:9" ht="15.75" hidden="1" x14ac:dyDescent="0.25">
      <c r="A25" s="5" t="s">
        <v>24</v>
      </c>
      <c r="B25" s="5" t="str">
        <f t="shared" ref="B25:B31" si="1">+A12&amp;"-"&amp;B12</f>
        <v>NUEVA WALMART-CHALCO</v>
      </c>
      <c r="C25" s="5" t="s">
        <v>76</v>
      </c>
      <c r="D25" s="5">
        <v>24</v>
      </c>
      <c r="E25" s="5" t="s">
        <v>784</v>
      </c>
      <c r="F25" s="16" t="s">
        <v>783</v>
      </c>
      <c r="G25" s="5" t="s">
        <v>654</v>
      </c>
      <c r="H25" s="5" t="s">
        <v>785</v>
      </c>
      <c r="I25" t="str">
        <f t="shared" si="0"/>
        <v>('RECHAZO','NUEVA WALMART-CHALCO','RECHAZO WM CHALCO'),</v>
      </c>
    </row>
    <row r="26" spans="1:9" ht="15.75" hidden="1" x14ac:dyDescent="0.25">
      <c r="A26" s="5" t="s">
        <v>24</v>
      </c>
      <c r="B26" s="5" t="str">
        <f t="shared" si="1"/>
        <v>NUEVA WALMART-CULIACAN</v>
      </c>
      <c r="C26" s="5" t="s">
        <v>77</v>
      </c>
      <c r="D26" s="5">
        <v>25</v>
      </c>
      <c r="E26" s="5" t="s">
        <v>784</v>
      </c>
      <c r="F26" s="16" t="s">
        <v>783</v>
      </c>
      <c r="G26" s="5" t="s">
        <v>654</v>
      </c>
      <c r="H26" s="5" t="s">
        <v>785</v>
      </c>
      <c r="I26" t="str">
        <f t="shared" si="0"/>
        <v>('RECHAZO','NUEVA WALMART-CULIACAN','RECHAZO WM CLN'),</v>
      </c>
    </row>
    <row r="27" spans="1:9" ht="15.75" hidden="1" x14ac:dyDescent="0.25">
      <c r="A27" s="5" t="s">
        <v>24</v>
      </c>
      <c r="B27" s="5" t="str">
        <f t="shared" si="1"/>
        <v>NUEVA WALMART-GUADALAJARA</v>
      </c>
      <c r="C27" s="5" t="s">
        <v>78</v>
      </c>
      <c r="D27" s="5">
        <v>26</v>
      </c>
      <c r="E27" s="5" t="s">
        <v>784</v>
      </c>
      <c r="F27" s="16" t="s">
        <v>783</v>
      </c>
      <c r="G27" s="5" t="s">
        <v>654</v>
      </c>
      <c r="H27" s="5" t="s">
        <v>785</v>
      </c>
      <c r="I27" t="str">
        <f t="shared" si="0"/>
        <v>('RECHAZO','NUEVA WALMART-GUADALAJARA','RECHAZO WM GDL'),</v>
      </c>
    </row>
    <row r="28" spans="1:9" ht="15.75" hidden="1" x14ac:dyDescent="0.25">
      <c r="A28" s="5" t="s">
        <v>24</v>
      </c>
      <c r="B28" s="5" t="str">
        <f t="shared" si="1"/>
        <v>NUEVA WALMART-MONTERREY</v>
      </c>
      <c r="C28" s="5" t="s">
        <v>79</v>
      </c>
      <c r="D28" s="5">
        <v>27</v>
      </c>
      <c r="E28" s="5" t="s">
        <v>784</v>
      </c>
      <c r="F28" s="16" t="s">
        <v>783</v>
      </c>
      <c r="G28" s="5" t="s">
        <v>654</v>
      </c>
      <c r="H28" s="5" t="s">
        <v>785</v>
      </c>
      <c r="I28" t="str">
        <f t="shared" si="0"/>
        <v>('RECHAZO','NUEVA WALMART-MONTERREY','RECHAZO WM MTY'),</v>
      </c>
    </row>
    <row r="29" spans="1:9" ht="15.75" hidden="1" x14ac:dyDescent="0.25">
      <c r="A29" s="5" t="s">
        <v>24</v>
      </c>
      <c r="B29" s="5" t="str">
        <f t="shared" si="1"/>
        <v>NUEVA WALMART-QUERETARO</v>
      </c>
      <c r="C29" s="5" t="s">
        <v>80</v>
      </c>
      <c r="D29" s="5">
        <v>28</v>
      </c>
      <c r="E29" s="5" t="s">
        <v>784</v>
      </c>
      <c r="F29" s="16" t="s">
        <v>783</v>
      </c>
      <c r="G29" s="5" t="s">
        <v>654</v>
      </c>
      <c r="H29" s="5" t="s">
        <v>785</v>
      </c>
      <c r="I29" t="str">
        <f t="shared" si="0"/>
        <v>('RECHAZO','NUEVA WALMART-QUERETARO','RECHAZO WM QRO'),</v>
      </c>
    </row>
    <row r="30" spans="1:9" ht="15.75" hidden="1" x14ac:dyDescent="0.25">
      <c r="A30" s="5" t="s">
        <v>24</v>
      </c>
      <c r="B30" s="5" t="str">
        <f t="shared" si="1"/>
        <v>NUEVA WALMART-SAN MARTIN DE OBISPO</v>
      </c>
      <c r="C30" s="5" t="s">
        <v>81</v>
      </c>
      <c r="D30" s="5">
        <v>29</v>
      </c>
      <c r="E30" s="5" t="s">
        <v>784</v>
      </c>
      <c r="F30" s="16" t="s">
        <v>783</v>
      </c>
      <c r="G30" s="5" t="s">
        <v>654</v>
      </c>
      <c r="H30" s="5" t="s">
        <v>785</v>
      </c>
      <c r="I30" t="str">
        <f t="shared" si="0"/>
        <v>('RECHAZO','NUEVA WALMART-SAN MARTIN DE OBISPO','RECHAZO WM SMO'),</v>
      </c>
    </row>
    <row r="31" spans="1:9" ht="15.75" hidden="1" x14ac:dyDescent="0.25">
      <c r="A31" s="5" t="s">
        <v>24</v>
      </c>
      <c r="B31" s="5" t="str">
        <f t="shared" si="1"/>
        <v>NUEVA WALMART-VILLAHERMOSA</v>
      </c>
      <c r="C31" s="5" t="s">
        <v>82</v>
      </c>
      <c r="D31" s="5">
        <v>30</v>
      </c>
      <c r="E31" s="5" t="s">
        <v>784</v>
      </c>
      <c r="F31" s="16" t="s">
        <v>783</v>
      </c>
      <c r="G31" s="5" t="s">
        <v>654</v>
      </c>
      <c r="H31" s="5" t="s">
        <v>785</v>
      </c>
      <c r="I31" t="str">
        <f t="shared" si="0"/>
        <v>('RECHAZO','NUEVA WALMART-VILLAHERMOSA','RECHAZO WM VSA'),</v>
      </c>
    </row>
    <row r="32" spans="1:9" ht="15.75" hidden="1" x14ac:dyDescent="0.25">
      <c r="A32" s="5" t="s">
        <v>24</v>
      </c>
      <c r="B32" s="5" t="str">
        <f>+A20&amp;"-"&amp;B20</f>
        <v>S-MART-CIUDAD JUAREZ</v>
      </c>
      <c r="C32" s="5" t="s">
        <v>83</v>
      </c>
      <c r="D32" s="5">
        <v>31</v>
      </c>
      <c r="E32" s="5" t="s">
        <v>784</v>
      </c>
      <c r="F32" s="16" t="s">
        <v>783</v>
      </c>
      <c r="G32" s="5" t="s">
        <v>654</v>
      </c>
      <c r="H32" s="5" t="s">
        <v>785</v>
      </c>
      <c r="I32" t="str">
        <f t="shared" si="0"/>
        <v>('RECHAZO','S-MART-CIUDAD JUAREZ','RECHAZO S-MART CD JUAREZ'),</v>
      </c>
    </row>
    <row r="33" spans="1:9" ht="15.75" hidden="1" x14ac:dyDescent="0.25">
      <c r="A33" s="5" t="s">
        <v>24</v>
      </c>
      <c r="B33" s="5" t="str">
        <f>+A21&amp;"-"&amp;B21</f>
        <v>S-MART-MONTERREY</v>
      </c>
      <c r="C33" s="5" t="s">
        <v>84</v>
      </c>
      <c r="D33" s="5">
        <v>32</v>
      </c>
      <c r="E33" s="5" t="s">
        <v>784</v>
      </c>
      <c r="F33" s="16" t="s">
        <v>783</v>
      </c>
      <c r="G33" s="5" t="s">
        <v>654</v>
      </c>
      <c r="H33" s="5" t="s">
        <v>785</v>
      </c>
      <c r="I33" t="str">
        <f t="shared" si="0"/>
        <v>('RECHAZO','S-MART-MONTERREY','RECHAZO S-MART MTY'),</v>
      </c>
    </row>
    <row r="34" spans="1:9" ht="15.75" hidden="1" x14ac:dyDescent="0.25">
      <c r="A34" s="5" t="s">
        <v>24</v>
      </c>
      <c r="B34" s="5" t="str">
        <f>+A22</f>
        <v>SORIANA</v>
      </c>
      <c r="C34" s="5" t="s">
        <v>85</v>
      </c>
      <c r="D34" s="5">
        <v>33</v>
      </c>
      <c r="E34" s="5" t="s">
        <v>784</v>
      </c>
      <c r="F34" s="16" t="s">
        <v>783</v>
      </c>
      <c r="G34" s="5" t="s">
        <v>654</v>
      </c>
      <c r="H34" s="5" t="s">
        <v>785</v>
      </c>
      <c r="I34" t="str">
        <f t="shared" si="0"/>
        <v>('RECHAZO','SORIANA','RECHAZO SORIANA'),</v>
      </c>
    </row>
    <row r="35" spans="1:9" ht="15.75" hidden="1" x14ac:dyDescent="0.25">
      <c r="A35" s="5" t="s">
        <v>24</v>
      </c>
      <c r="B35" s="5" t="str">
        <f>+B24</f>
        <v>MC ALLEN</v>
      </c>
      <c r="C35" s="5" t="s">
        <v>86</v>
      </c>
      <c r="D35" s="5">
        <v>34</v>
      </c>
      <c r="E35" s="5" t="s">
        <v>784</v>
      </c>
      <c r="F35" s="16" t="s">
        <v>783</v>
      </c>
      <c r="G35" s="5" t="s">
        <v>654</v>
      </c>
      <c r="H35" s="5" t="s">
        <v>785</v>
      </c>
      <c r="I35" t="str">
        <f t="shared" si="0"/>
        <v>('RECHAZO','MC ALLEN','RECHAZO MC ALLEN UNFI'),</v>
      </c>
    </row>
    <row r="36" spans="1:9" ht="15.75" hidden="1" x14ac:dyDescent="0.25">
      <c r="A36" s="5" t="s">
        <v>24</v>
      </c>
      <c r="B36" s="5" t="str">
        <f>+A7&amp;"-"&amp;B7</f>
        <v>CHEDRAUI-ZUMPANGO</v>
      </c>
      <c r="C36" s="5" t="s">
        <v>87</v>
      </c>
      <c r="D36" s="5">
        <v>35</v>
      </c>
      <c r="E36" s="5" t="s">
        <v>784</v>
      </c>
      <c r="F36" s="16" t="s">
        <v>783</v>
      </c>
      <c r="G36" s="5" t="s">
        <v>654</v>
      </c>
      <c r="H36" s="5" t="s">
        <v>785</v>
      </c>
      <c r="I36" t="str">
        <f t="shared" si="0"/>
        <v>('RECHAZO','CHEDRAUI-ZUMPANGO','RECHAZO CHEDRAUI ZUM'),</v>
      </c>
    </row>
    <row r="37" spans="1:9" ht="15.75" hidden="1" x14ac:dyDescent="0.25">
      <c r="A37" s="5" t="s">
        <v>27</v>
      </c>
      <c r="B37" s="5" t="str">
        <f>+B9</f>
        <v>TAPACHULA</v>
      </c>
      <c r="C37" s="5" t="s">
        <v>88</v>
      </c>
      <c r="D37" s="5">
        <v>36</v>
      </c>
      <c r="E37" s="5" t="s">
        <v>784</v>
      </c>
      <c r="F37" s="16" t="s">
        <v>783</v>
      </c>
      <c r="G37" s="5" t="s">
        <v>654</v>
      </c>
      <c r="H37" s="5" t="s">
        <v>785</v>
      </c>
      <c r="I37" t="str">
        <f t="shared" si="0"/>
        <v>('MATERIALES','TAPACHULA','MATERIALES TAP'),</v>
      </c>
    </row>
    <row r="38" spans="1:9" ht="15.75" hidden="1" x14ac:dyDescent="0.25">
      <c r="A38" s="5" t="s">
        <v>27</v>
      </c>
      <c r="B38" s="5" t="str">
        <f>+B10</f>
        <v>COLIMA</v>
      </c>
      <c r="C38" s="5" t="s">
        <v>89</v>
      </c>
      <c r="D38" s="5">
        <v>37</v>
      </c>
      <c r="E38" s="5" t="s">
        <v>784</v>
      </c>
      <c r="F38" s="16" t="s">
        <v>783</v>
      </c>
      <c r="G38" s="5" t="s">
        <v>654</v>
      </c>
      <c r="H38" s="5" t="s">
        <v>785</v>
      </c>
      <c r="I38" t="str">
        <f t="shared" si="0"/>
        <v>('MATERIALES','COLIMA','MATERIALES COL'),</v>
      </c>
    </row>
    <row r="39" spans="1:9" ht="15.75" hidden="1" x14ac:dyDescent="0.25">
      <c r="A39" s="5" t="s">
        <v>27</v>
      </c>
      <c r="B39" s="5" t="str">
        <f>+B11</f>
        <v>TABASCO</v>
      </c>
      <c r="C39" s="5" t="s">
        <v>90</v>
      </c>
      <c r="D39" s="5">
        <v>38</v>
      </c>
      <c r="E39" s="5" t="s">
        <v>784</v>
      </c>
      <c r="F39" s="16" t="s">
        <v>783</v>
      </c>
      <c r="G39" s="5" t="s">
        <v>654</v>
      </c>
      <c r="H39" s="5" t="s">
        <v>785</v>
      </c>
      <c r="I39" t="str">
        <f t="shared" si="0"/>
        <v>('MATERIALES','TABASCO','MATERIALES TAB'),</v>
      </c>
    </row>
    <row r="40" spans="1:9" ht="15.75" hidden="1" x14ac:dyDescent="0.25">
      <c r="A40" s="5" t="s">
        <v>26</v>
      </c>
      <c r="B40" s="5" t="str">
        <f>+B9</f>
        <v>TAPACHULA</v>
      </c>
      <c r="C40" s="5" t="s">
        <v>91</v>
      </c>
      <c r="D40" s="5">
        <v>39</v>
      </c>
      <c r="E40" s="5" t="s">
        <v>784</v>
      </c>
      <c r="F40" s="16" t="s">
        <v>783</v>
      </c>
      <c r="G40" s="5" t="s">
        <v>654</v>
      </c>
      <c r="H40" s="5" t="s">
        <v>785</v>
      </c>
      <c r="I40" t="str">
        <f t="shared" si="0"/>
        <v>('TARIMAS','TAPACHULA','TARIMAS TAP'),</v>
      </c>
    </row>
    <row r="41" spans="1:9" ht="15.75" hidden="1" x14ac:dyDescent="0.25">
      <c r="A41" s="5" t="s">
        <v>26</v>
      </c>
      <c r="B41" s="5" t="str">
        <f t="shared" ref="B41:B42" si="2">+B10</f>
        <v>COLIMA</v>
      </c>
      <c r="C41" s="5" t="s">
        <v>92</v>
      </c>
      <c r="D41" s="5">
        <v>40</v>
      </c>
      <c r="E41" s="5" t="s">
        <v>784</v>
      </c>
      <c r="F41" s="16" t="s">
        <v>783</v>
      </c>
      <c r="G41" s="5" t="s">
        <v>654</v>
      </c>
      <c r="H41" s="5" t="s">
        <v>785</v>
      </c>
      <c r="I41" t="str">
        <f t="shared" si="0"/>
        <v>('TARIMAS','COLIMA','TARIMAS COL'),</v>
      </c>
    </row>
    <row r="42" spans="1:9" ht="15.75" hidden="1" x14ac:dyDescent="0.25">
      <c r="A42" s="5" t="s">
        <v>26</v>
      </c>
      <c r="B42" s="5" t="str">
        <f t="shared" si="2"/>
        <v>TABASCO</v>
      </c>
      <c r="C42" s="5" t="s">
        <v>93</v>
      </c>
      <c r="D42" s="5">
        <v>41</v>
      </c>
      <c r="E42" s="5" t="s">
        <v>784</v>
      </c>
      <c r="F42" s="16" t="s">
        <v>783</v>
      </c>
      <c r="G42" s="5" t="s">
        <v>654</v>
      </c>
      <c r="H42" s="5" t="s">
        <v>785</v>
      </c>
      <c r="I42" t="str">
        <f t="shared" si="0"/>
        <v>('TARIMAS','TABASCO','TARIMAS TAB'),</v>
      </c>
    </row>
  </sheetData>
  <autoFilter ref="A1:I42" xr:uid="{7041A0F3-0727-46BE-AF1B-1333F80826B4}">
    <filterColumn colId="2">
      <filters>
        <filter val="PATROCINIO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8DF62-4A6C-4EDA-A303-268CF1B2092F}">
  <dimension ref="A1:C14"/>
  <sheetViews>
    <sheetView workbookViewId="0">
      <selection activeCell="C1" sqref="C1"/>
    </sheetView>
  </sheetViews>
  <sheetFormatPr baseColWidth="10" defaultRowHeight="15" x14ac:dyDescent="0.25"/>
  <cols>
    <col min="1" max="2" width="18.28515625" customWidth="1"/>
    <col min="3" max="3" width="17.85546875" customWidth="1"/>
  </cols>
  <sheetData>
    <row r="1" spans="1:3" ht="31.5" x14ac:dyDescent="0.25">
      <c r="A1" s="4" t="s">
        <v>650</v>
      </c>
      <c r="B1" s="4" t="s">
        <v>651</v>
      </c>
      <c r="C1" s="4" t="s">
        <v>649</v>
      </c>
    </row>
    <row r="2" spans="1:3" ht="15.75" x14ac:dyDescent="0.25">
      <c r="A2">
        <v>14</v>
      </c>
      <c r="B2">
        <v>16</v>
      </c>
      <c r="C2" s="5" t="s">
        <v>62</v>
      </c>
    </row>
    <row r="3" spans="1:3" ht="15.75" x14ac:dyDescent="0.25">
      <c r="A3">
        <v>15</v>
      </c>
      <c r="B3">
        <v>17</v>
      </c>
      <c r="C3" s="5" t="s">
        <v>61</v>
      </c>
    </row>
    <row r="4" spans="1:3" ht="15.75" x14ac:dyDescent="0.25">
      <c r="A4">
        <v>15</v>
      </c>
      <c r="B4">
        <v>17</v>
      </c>
      <c r="C4" s="5" t="s">
        <v>75</v>
      </c>
    </row>
    <row r="5" spans="1:3" ht="15.75" x14ac:dyDescent="0.25">
      <c r="A5">
        <v>14</v>
      </c>
      <c r="B5">
        <v>17</v>
      </c>
      <c r="C5" s="5" t="s">
        <v>73</v>
      </c>
    </row>
    <row r="6" spans="1:3" ht="15.75" x14ac:dyDescent="0.25">
      <c r="A6">
        <v>14</v>
      </c>
      <c r="B6">
        <v>17</v>
      </c>
      <c r="C6" s="5" t="s">
        <v>74</v>
      </c>
    </row>
    <row r="7" spans="1:3" ht="15.75" x14ac:dyDescent="0.25">
      <c r="A7">
        <v>14</v>
      </c>
      <c r="B7">
        <v>17</v>
      </c>
      <c r="C7" s="5" t="s">
        <v>37</v>
      </c>
    </row>
    <row r="8" spans="1:3" ht="15.75" x14ac:dyDescent="0.25">
      <c r="A8">
        <v>15</v>
      </c>
      <c r="B8">
        <v>17</v>
      </c>
      <c r="C8" s="5" t="s">
        <v>66</v>
      </c>
    </row>
    <row r="9" spans="1:3" ht="15.75" x14ac:dyDescent="0.25">
      <c r="A9">
        <v>15</v>
      </c>
      <c r="B9">
        <v>17</v>
      </c>
      <c r="C9" s="5" t="s">
        <v>67</v>
      </c>
    </row>
    <row r="10" spans="1:3" ht="15.75" x14ac:dyDescent="0.25">
      <c r="A10">
        <v>15</v>
      </c>
      <c r="B10">
        <v>17</v>
      </c>
      <c r="C10" s="5" t="s">
        <v>68</v>
      </c>
    </row>
    <row r="11" spans="1:3" ht="15.75" x14ac:dyDescent="0.25">
      <c r="A11">
        <v>15</v>
      </c>
      <c r="B11">
        <v>17</v>
      </c>
      <c r="C11" s="5" t="s">
        <v>69</v>
      </c>
    </row>
    <row r="12" spans="1:3" ht="15.75" x14ac:dyDescent="0.25">
      <c r="A12">
        <v>15</v>
      </c>
      <c r="B12">
        <v>17</v>
      </c>
      <c r="C12" s="5" t="s">
        <v>70</v>
      </c>
    </row>
    <row r="13" spans="1:3" ht="15.75" x14ac:dyDescent="0.25">
      <c r="A13">
        <v>15</v>
      </c>
      <c r="B13">
        <v>17</v>
      </c>
      <c r="C13" s="5" t="s">
        <v>71</v>
      </c>
    </row>
    <row r="14" spans="1:3" ht="15.75" x14ac:dyDescent="0.25">
      <c r="A14">
        <v>15</v>
      </c>
      <c r="B14">
        <v>17</v>
      </c>
      <c r="C14" s="5" t="s">
        <v>72</v>
      </c>
    </row>
  </sheetData>
  <autoFilter ref="A1:C1" xr:uid="{3E98DF62-4A6C-4EDA-A303-268CF1B2092F}">
    <sortState xmlns:xlrd2="http://schemas.microsoft.com/office/spreadsheetml/2017/richdata2" ref="A2:C15">
      <sortCondition ref="C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E6D9E-686A-4183-92BF-9B0AF16F6985}">
  <sheetPr filterMode="1"/>
  <dimension ref="A1:R284"/>
  <sheetViews>
    <sheetView topLeftCell="B1" workbookViewId="0">
      <pane ySplit="1" topLeftCell="A153" activePane="bottomLeft" state="frozen"/>
      <selection pane="bottomLeft" activeCell="R153" sqref="R153"/>
    </sheetView>
  </sheetViews>
  <sheetFormatPr baseColWidth="10" defaultRowHeight="15" x14ac:dyDescent="0.25"/>
  <cols>
    <col min="1" max="1" width="57.7109375" bestFit="1" customWidth="1"/>
    <col min="2" max="2" width="11.42578125" style="13"/>
    <col min="3" max="3" width="15.140625" bestFit="1" customWidth="1"/>
    <col min="4" max="4" width="34.42578125" bestFit="1" customWidth="1"/>
    <col min="6" max="6" width="23.42578125" customWidth="1"/>
    <col min="8" max="10" width="11.42578125" style="13"/>
  </cols>
  <sheetData>
    <row r="1" spans="1:18" ht="28.5" customHeight="1" x14ac:dyDescent="0.25">
      <c r="A1" s="3" t="s">
        <v>94</v>
      </c>
      <c r="B1" s="15" t="s">
        <v>781</v>
      </c>
      <c r="C1" s="3" t="s">
        <v>1123</v>
      </c>
      <c r="D1" s="3" t="s">
        <v>95</v>
      </c>
      <c r="E1" s="3" t="s">
        <v>1124</v>
      </c>
      <c r="F1" s="3" t="s">
        <v>1125</v>
      </c>
      <c r="G1" s="3" t="s">
        <v>1126</v>
      </c>
      <c r="H1" s="13" t="s">
        <v>1119</v>
      </c>
      <c r="I1" s="13" t="s">
        <v>1119</v>
      </c>
      <c r="J1" s="13" t="s">
        <v>1119</v>
      </c>
      <c r="K1" t="s">
        <v>1119</v>
      </c>
      <c r="L1" t="s">
        <v>1119</v>
      </c>
      <c r="M1" t="s">
        <v>1119</v>
      </c>
      <c r="N1" t="s">
        <v>1119</v>
      </c>
      <c r="O1" t="s">
        <v>1119</v>
      </c>
    </row>
    <row r="2" spans="1:18" ht="22.5" hidden="1" x14ac:dyDescent="0.3">
      <c r="A2" s="6" t="s">
        <v>131</v>
      </c>
      <c r="B2" s="13">
        <v>1</v>
      </c>
      <c r="C2" s="13" t="s">
        <v>1127</v>
      </c>
      <c r="D2" s="6" t="s">
        <v>132</v>
      </c>
      <c r="E2">
        <v>1</v>
      </c>
      <c r="F2" s="14">
        <v>80</v>
      </c>
      <c r="G2">
        <v>1</v>
      </c>
      <c r="H2" s="13">
        <v>1</v>
      </c>
      <c r="I2" t="str">
        <f>+IF(LEN(H2)=1,_xlfn.CONCAT("00",H2),IF(LEN(H2)=2,_xlfn.CONCAT("0",H2),H2))</f>
        <v>001</v>
      </c>
      <c r="J2" s="13" t="s">
        <v>784</v>
      </c>
      <c r="K2" s="12" t="s">
        <v>783</v>
      </c>
      <c r="L2" t="s">
        <v>654</v>
      </c>
      <c r="M2" t="s">
        <v>785</v>
      </c>
      <c r="N2" t="str">
        <f>+J2&amp;K2&amp;I2&amp;K2&amp;L2&amp;K2&amp;C2&amp;K2&amp;L2&amp;K2&amp;D2&amp;K2&amp;L2&amp;E2&amp;L2&amp;F2&amp;L2&amp;G2&amp;M2&amp;L2</f>
        <v>('001','Marbella','FN_CHI_MARBELLA',1,80,1),</v>
      </c>
      <c r="R2">
        <v>17</v>
      </c>
    </row>
    <row r="3" spans="1:18" ht="22.5" hidden="1" x14ac:dyDescent="0.3">
      <c r="A3" s="6" t="s">
        <v>115</v>
      </c>
      <c r="B3" s="13">
        <v>2</v>
      </c>
      <c r="C3" s="13" t="s">
        <v>1128</v>
      </c>
      <c r="D3" s="6" t="s">
        <v>116</v>
      </c>
      <c r="E3">
        <v>1</v>
      </c>
      <c r="F3" s="14">
        <v>80</v>
      </c>
      <c r="G3">
        <v>1</v>
      </c>
      <c r="H3" s="13">
        <v>2</v>
      </c>
      <c r="I3" t="str">
        <f t="shared" ref="I3:I66" si="0">+IF(LEN(H3)=1,_xlfn.CONCAT("00",H3),IF(LEN(H3)=2,_xlfn.CONCAT("0",H3),H3))</f>
        <v>002</v>
      </c>
      <c r="J3" s="13" t="s">
        <v>784</v>
      </c>
      <c r="K3" s="12" t="s">
        <v>783</v>
      </c>
      <c r="L3" t="s">
        <v>654</v>
      </c>
      <c r="M3" t="s">
        <v>785</v>
      </c>
      <c r="N3" t="str">
        <f t="shared" ref="N3:N66" si="1">+J3&amp;K3&amp;I3&amp;K3&amp;L3&amp;K3&amp;C3&amp;K3&amp;L3&amp;K3&amp;D3&amp;K3&amp;L3&amp;E3&amp;L3&amp;F3&amp;L3&amp;G3&amp;M3&amp;L3</f>
        <v>('002','Fortaleza','FN_CHI_FORTALEZA',1,80,1),</v>
      </c>
      <c r="R3">
        <f>+R2+1</f>
        <v>18</v>
      </c>
    </row>
    <row r="4" spans="1:18" ht="22.5" hidden="1" x14ac:dyDescent="0.3">
      <c r="A4" s="6" t="s">
        <v>106</v>
      </c>
      <c r="B4" s="13">
        <v>3</v>
      </c>
      <c r="C4" s="13" t="s">
        <v>1129</v>
      </c>
      <c r="D4" s="6" t="s">
        <v>107</v>
      </c>
      <c r="E4">
        <v>1</v>
      </c>
      <c r="F4" s="14">
        <v>80</v>
      </c>
      <c r="G4">
        <v>1</v>
      </c>
      <c r="H4" s="13">
        <v>3</v>
      </c>
      <c r="I4" t="str">
        <f t="shared" si="0"/>
        <v>003</v>
      </c>
      <c r="J4" s="13" t="s">
        <v>784</v>
      </c>
      <c r="K4" s="12" t="s">
        <v>783</v>
      </c>
      <c r="L4" t="s">
        <v>654</v>
      </c>
      <c r="M4" t="s">
        <v>785</v>
      </c>
      <c r="N4" t="str">
        <f t="shared" si="1"/>
        <v>('003','Doña Nelly','FN_CHI_DONA_NELLY',1,80,1),</v>
      </c>
      <c r="R4">
        <f t="shared" ref="R4:R67" si="2">+R3+1</f>
        <v>19</v>
      </c>
    </row>
    <row r="5" spans="1:18" ht="22.5" hidden="1" x14ac:dyDescent="0.3">
      <c r="A5" s="6" t="s">
        <v>123</v>
      </c>
      <c r="B5" s="13">
        <v>4</v>
      </c>
      <c r="C5" s="13" t="s">
        <v>1130</v>
      </c>
      <c r="D5" s="6" t="s">
        <v>124</v>
      </c>
      <c r="E5">
        <v>1</v>
      </c>
      <c r="F5" s="14">
        <v>80</v>
      </c>
      <c r="G5">
        <v>1</v>
      </c>
      <c r="H5" s="13">
        <v>4</v>
      </c>
      <c r="I5" t="str">
        <f t="shared" si="0"/>
        <v>004</v>
      </c>
      <c r="J5" s="13" t="s">
        <v>784</v>
      </c>
      <c r="K5" s="12" t="s">
        <v>783</v>
      </c>
      <c r="L5" t="s">
        <v>654</v>
      </c>
      <c r="M5" t="s">
        <v>785</v>
      </c>
      <c r="N5" t="str">
        <f t="shared" si="1"/>
        <v>('004','La Ceiba','FN_CHI_LA_CEIBA',1,80,1),</v>
      </c>
      <c r="R5">
        <f t="shared" si="2"/>
        <v>20</v>
      </c>
    </row>
    <row r="6" spans="1:18" ht="22.5" hidden="1" x14ac:dyDescent="0.3">
      <c r="A6" s="6" t="s">
        <v>534</v>
      </c>
      <c r="B6" s="13">
        <v>26</v>
      </c>
      <c r="C6" s="13" t="s">
        <v>1131</v>
      </c>
      <c r="D6" s="6" t="s">
        <v>535</v>
      </c>
      <c r="E6">
        <v>1</v>
      </c>
      <c r="F6" s="14">
        <v>82</v>
      </c>
      <c r="G6">
        <v>1</v>
      </c>
      <c r="H6" s="13">
        <v>26</v>
      </c>
      <c r="I6" t="str">
        <f t="shared" si="0"/>
        <v>026</v>
      </c>
      <c r="J6" s="13" t="s">
        <v>784</v>
      </c>
      <c r="K6" s="12" t="s">
        <v>783</v>
      </c>
      <c r="L6" t="s">
        <v>654</v>
      </c>
      <c r="M6" t="s">
        <v>785</v>
      </c>
      <c r="N6" t="str">
        <f t="shared" si="1"/>
        <v>('026','Santa Fe','FN_CHI_STAFE',1,82,1),</v>
      </c>
      <c r="R6">
        <f t="shared" si="2"/>
        <v>21</v>
      </c>
    </row>
    <row r="7" spans="1:18" ht="22.5" hidden="1" x14ac:dyDescent="0.3">
      <c r="A7" s="6" t="s">
        <v>532</v>
      </c>
      <c r="B7" s="13">
        <v>27</v>
      </c>
      <c r="C7" s="13" t="s">
        <v>1132</v>
      </c>
      <c r="D7" s="6" t="s">
        <v>533</v>
      </c>
      <c r="E7">
        <v>1</v>
      </c>
      <c r="F7" s="14">
        <v>82</v>
      </c>
      <c r="G7">
        <v>1</v>
      </c>
      <c r="H7" s="13">
        <v>27</v>
      </c>
      <c r="I7" t="str">
        <f t="shared" si="0"/>
        <v>027</v>
      </c>
      <c r="J7" s="13" t="s">
        <v>784</v>
      </c>
      <c r="K7" s="12" t="s">
        <v>783</v>
      </c>
      <c r="L7" t="s">
        <v>654</v>
      </c>
      <c r="M7" t="s">
        <v>785</v>
      </c>
      <c r="N7" t="str">
        <f t="shared" si="1"/>
        <v>('027','El Cahua','FN_CHI_ELCAHUA',1,82,1),</v>
      </c>
      <c r="R7">
        <f t="shared" si="2"/>
        <v>22</v>
      </c>
    </row>
    <row r="8" spans="1:18" ht="22.5" hidden="1" x14ac:dyDescent="0.3">
      <c r="A8" s="6" t="s">
        <v>557</v>
      </c>
      <c r="B8" s="13">
        <v>28</v>
      </c>
      <c r="C8" s="13" t="s">
        <v>1133</v>
      </c>
      <c r="D8" s="6" t="s">
        <v>558</v>
      </c>
      <c r="E8">
        <v>1</v>
      </c>
      <c r="F8" s="14">
        <v>82</v>
      </c>
      <c r="G8">
        <v>1</v>
      </c>
      <c r="H8" s="13">
        <v>28</v>
      </c>
      <c r="I8" t="str">
        <f t="shared" si="0"/>
        <v>028</v>
      </c>
      <c r="J8" s="13" t="s">
        <v>784</v>
      </c>
      <c r="K8" s="12" t="s">
        <v>783</v>
      </c>
      <c r="L8" t="s">
        <v>654</v>
      </c>
      <c r="M8" t="s">
        <v>785</v>
      </c>
      <c r="N8" t="str">
        <f t="shared" si="1"/>
        <v>('028','Romina','FN_CHI_ROMINA',1,82,1),</v>
      </c>
      <c r="R8">
        <f t="shared" si="2"/>
        <v>23</v>
      </c>
    </row>
    <row r="9" spans="1:18" ht="22.5" hidden="1" x14ac:dyDescent="0.3">
      <c r="A9" s="6" t="s">
        <v>117</v>
      </c>
      <c r="B9" s="13">
        <v>5</v>
      </c>
      <c r="C9" s="13" t="s">
        <v>1134</v>
      </c>
      <c r="D9" s="6" t="s">
        <v>118</v>
      </c>
      <c r="E9">
        <v>1</v>
      </c>
      <c r="F9" s="14">
        <v>83</v>
      </c>
      <c r="G9">
        <v>1</v>
      </c>
      <c r="H9" s="13">
        <v>5</v>
      </c>
      <c r="I9" t="str">
        <f t="shared" si="0"/>
        <v>005</v>
      </c>
      <c r="J9" s="13" t="s">
        <v>784</v>
      </c>
      <c r="K9" s="12" t="s">
        <v>783</v>
      </c>
      <c r="L9" t="s">
        <v>654</v>
      </c>
      <c r="M9" t="s">
        <v>785</v>
      </c>
      <c r="N9" t="str">
        <f t="shared" si="1"/>
        <v>('005','La Gloria','FN_CHI_GLORIA',1,83,1),</v>
      </c>
      <c r="R9">
        <f t="shared" si="2"/>
        <v>24</v>
      </c>
    </row>
    <row r="10" spans="1:18" ht="22.5" hidden="1" x14ac:dyDescent="0.3">
      <c r="A10" s="6" t="s">
        <v>98</v>
      </c>
      <c r="B10" s="13">
        <v>33</v>
      </c>
      <c r="C10" s="13" t="s">
        <v>1135</v>
      </c>
      <c r="D10" s="6" t="s">
        <v>99</v>
      </c>
      <c r="E10">
        <v>1</v>
      </c>
      <c r="F10" s="14">
        <v>83</v>
      </c>
      <c r="G10">
        <v>1</v>
      </c>
      <c r="H10" s="13">
        <v>33</v>
      </c>
      <c r="I10" t="str">
        <f t="shared" si="0"/>
        <v>033</v>
      </c>
      <c r="J10" s="13" t="s">
        <v>784</v>
      </c>
      <c r="K10" s="12" t="s">
        <v>783</v>
      </c>
      <c r="L10" t="s">
        <v>654</v>
      </c>
      <c r="M10" t="s">
        <v>785</v>
      </c>
      <c r="N10" t="str">
        <f t="shared" si="1"/>
        <v>('033','Carlota Nava','FN_CHI_CARLOTA',1,83,1),</v>
      </c>
      <c r="R10">
        <f t="shared" si="2"/>
        <v>25</v>
      </c>
    </row>
    <row r="11" spans="1:18" ht="22.5" hidden="1" x14ac:dyDescent="0.3">
      <c r="A11" s="6" t="s">
        <v>146</v>
      </c>
      <c r="B11" s="13">
        <v>38</v>
      </c>
      <c r="C11" s="13" t="s">
        <v>1136</v>
      </c>
      <c r="D11" s="6" t="s">
        <v>147</v>
      </c>
      <c r="E11">
        <v>1</v>
      </c>
      <c r="F11" s="14">
        <v>83</v>
      </c>
      <c r="G11">
        <v>1</v>
      </c>
      <c r="H11" s="13">
        <v>38</v>
      </c>
      <c r="I11" t="str">
        <f t="shared" si="0"/>
        <v>038</v>
      </c>
      <c r="J11" s="13" t="s">
        <v>784</v>
      </c>
      <c r="K11" s="12" t="s">
        <v>783</v>
      </c>
      <c r="L11" t="s">
        <v>654</v>
      </c>
      <c r="M11" t="s">
        <v>785</v>
      </c>
      <c r="N11" t="str">
        <f t="shared" si="1"/>
        <v>('038','El Triunfo Nava','FN_CHI_TRIUNFONAV',1,83,1),</v>
      </c>
      <c r="R11">
        <f t="shared" si="2"/>
        <v>26</v>
      </c>
    </row>
    <row r="12" spans="1:18" ht="22.5" hidden="1" x14ac:dyDescent="0.3">
      <c r="A12" s="6" t="s">
        <v>144</v>
      </c>
      <c r="B12" s="13">
        <v>83</v>
      </c>
      <c r="C12" s="13" t="s">
        <v>1137</v>
      </c>
      <c r="D12" s="6" t="s">
        <v>145</v>
      </c>
      <c r="E12">
        <v>1</v>
      </c>
      <c r="F12" s="14">
        <v>83</v>
      </c>
      <c r="G12">
        <v>1</v>
      </c>
      <c r="H12" s="13">
        <v>83</v>
      </c>
      <c r="I12" t="str">
        <f t="shared" si="0"/>
        <v>083</v>
      </c>
      <c r="J12" s="13" t="s">
        <v>784</v>
      </c>
      <c r="K12" s="12" t="s">
        <v>783</v>
      </c>
      <c r="L12" t="s">
        <v>654</v>
      </c>
      <c r="M12" t="s">
        <v>785</v>
      </c>
      <c r="N12" t="str">
        <f t="shared" si="1"/>
        <v>('083','Santa Maria','FN_CHI_SANTA_MARIA',1,83,1),</v>
      </c>
      <c r="R12">
        <f t="shared" si="2"/>
        <v>27</v>
      </c>
    </row>
    <row r="13" spans="1:18" ht="22.5" hidden="1" x14ac:dyDescent="0.3">
      <c r="A13" s="6" t="s">
        <v>127</v>
      </c>
      <c r="B13" s="13">
        <v>84</v>
      </c>
      <c r="C13" s="13" t="s">
        <v>1138</v>
      </c>
      <c r="D13" s="6" t="s">
        <v>128</v>
      </c>
      <c r="E13">
        <v>1</v>
      </c>
      <c r="F13" s="14">
        <v>83</v>
      </c>
      <c r="G13">
        <v>1</v>
      </c>
      <c r="H13" s="13">
        <v>84</v>
      </c>
      <c r="I13" t="str">
        <f t="shared" si="0"/>
        <v>084</v>
      </c>
      <c r="J13" s="13" t="s">
        <v>784</v>
      </c>
      <c r="K13" s="12" t="s">
        <v>783</v>
      </c>
      <c r="L13" t="s">
        <v>654</v>
      </c>
      <c r="M13" t="s">
        <v>785</v>
      </c>
      <c r="N13" t="str">
        <f t="shared" si="1"/>
        <v>('084','Lisboa','FN_CHI_LISBOA',1,83,1),</v>
      </c>
      <c r="R13">
        <f t="shared" si="2"/>
        <v>28</v>
      </c>
    </row>
    <row r="14" spans="1:18" ht="22.5" hidden="1" x14ac:dyDescent="0.3">
      <c r="A14" s="6" t="s">
        <v>479</v>
      </c>
      <c r="B14" s="13">
        <v>98</v>
      </c>
      <c r="C14" s="13" t="s">
        <v>1139</v>
      </c>
      <c r="D14" s="6" t="s">
        <v>480</v>
      </c>
      <c r="E14">
        <v>1</v>
      </c>
      <c r="F14" s="14">
        <v>83</v>
      </c>
      <c r="G14">
        <v>1</v>
      </c>
      <c r="H14" s="13">
        <v>98</v>
      </c>
      <c r="I14" t="str">
        <f t="shared" si="0"/>
        <v>098</v>
      </c>
      <c r="J14" s="13" t="s">
        <v>784</v>
      </c>
      <c r="K14" s="12" t="s">
        <v>783</v>
      </c>
      <c r="L14" t="s">
        <v>654</v>
      </c>
      <c r="M14" t="s">
        <v>785</v>
      </c>
      <c r="N14" t="str">
        <f t="shared" si="1"/>
        <v>('098','Trinidad y Lindavista','FN_CHI_TRINIDAD',1,83,1),</v>
      </c>
      <c r="R14">
        <f t="shared" si="2"/>
        <v>29</v>
      </c>
    </row>
    <row r="15" spans="1:18" ht="22.5" hidden="1" x14ac:dyDescent="0.3">
      <c r="A15" s="6" t="s">
        <v>137</v>
      </c>
      <c r="B15" s="13">
        <v>40</v>
      </c>
      <c r="C15" s="13" t="s">
        <v>1140</v>
      </c>
      <c r="D15" s="6" t="s">
        <v>138</v>
      </c>
      <c r="E15">
        <v>1</v>
      </c>
      <c r="F15" s="14">
        <v>84</v>
      </c>
      <c r="G15">
        <v>1</v>
      </c>
      <c r="H15" s="13">
        <v>40</v>
      </c>
      <c r="I15" t="str">
        <f t="shared" si="0"/>
        <v>040</v>
      </c>
      <c r="J15" s="13" t="s">
        <v>784</v>
      </c>
      <c r="K15" s="12" t="s">
        <v>783</v>
      </c>
      <c r="L15" t="s">
        <v>654</v>
      </c>
      <c r="M15" t="s">
        <v>785</v>
      </c>
      <c r="N15" t="str">
        <f t="shared" si="1"/>
        <v>('040','Plataneros Unidos 1','FN_CHI_PLATANEROS1',1,84,1),</v>
      </c>
      <c r="R15">
        <f t="shared" si="2"/>
        <v>30</v>
      </c>
    </row>
    <row r="16" spans="1:18" ht="22.5" hidden="1" x14ac:dyDescent="0.3">
      <c r="A16" s="6" t="s">
        <v>139</v>
      </c>
      <c r="B16" s="13">
        <v>41</v>
      </c>
      <c r="C16" s="13" t="s">
        <v>1141</v>
      </c>
      <c r="D16" s="6" t="s">
        <v>140</v>
      </c>
      <c r="E16">
        <v>1</v>
      </c>
      <c r="F16" s="14">
        <v>84</v>
      </c>
      <c r="G16">
        <v>1</v>
      </c>
      <c r="H16" s="13">
        <v>41</v>
      </c>
      <c r="I16" t="str">
        <f t="shared" si="0"/>
        <v>041</v>
      </c>
      <c r="J16" s="13" t="s">
        <v>784</v>
      </c>
      <c r="K16" s="12" t="s">
        <v>783</v>
      </c>
      <c r="L16" t="s">
        <v>654</v>
      </c>
      <c r="M16" t="s">
        <v>785</v>
      </c>
      <c r="N16" t="str">
        <f t="shared" si="1"/>
        <v>('041','Plataneros Unidos 2','FN_CHI_PLATANEROS2',1,84,1),</v>
      </c>
      <c r="R16">
        <f t="shared" si="2"/>
        <v>31</v>
      </c>
    </row>
    <row r="17" spans="1:18" ht="22.5" hidden="1" x14ac:dyDescent="0.3">
      <c r="A17" s="6" t="s">
        <v>141</v>
      </c>
      <c r="B17" s="13">
        <v>41</v>
      </c>
      <c r="C17" s="13" t="s">
        <v>1142</v>
      </c>
      <c r="D17" s="6" t="s">
        <v>140</v>
      </c>
      <c r="E17">
        <v>1</v>
      </c>
      <c r="F17" s="14">
        <v>84</v>
      </c>
      <c r="G17">
        <v>1</v>
      </c>
      <c r="H17" s="13">
        <v>41</v>
      </c>
      <c r="I17" t="str">
        <f t="shared" si="0"/>
        <v>041</v>
      </c>
      <c r="J17" s="13" t="s">
        <v>784</v>
      </c>
      <c r="K17" s="12" t="s">
        <v>783</v>
      </c>
      <c r="L17" t="s">
        <v>654</v>
      </c>
      <c r="M17" t="s">
        <v>785</v>
      </c>
      <c r="N17" t="str">
        <f t="shared" si="1"/>
        <v>('041','Plataneros Unidos 2 Cotan o Micros','FN_CHI_PLATANEROS2',1,84,1),</v>
      </c>
      <c r="R17">
        <f t="shared" si="2"/>
        <v>32</v>
      </c>
    </row>
    <row r="18" spans="1:18" ht="22.5" hidden="1" x14ac:dyDescent="0.3">
      <c r="A18" s="6" t="s">
        <v>110</v>
      </c>
      <c r="B18" s="13">
        <v>42</v>
      </c>
      <c r="C18" s="13" t="s">
        <v>1143</v>
      </c>
      <c r="D18" s="6" t="s">
        <v>111</v>
      </c>
      <c r="E18">
        <v>1</v>
      </c>
      <c r="F18" s="14">
        <v>84</v>
      </c>
      <c r="G18">
        <v>1</v>
      </c>
      <c r="H18" s="13">
        <v>42</v>
      </c>
      <c r="I18" t="str">
        <f t="shared" si="0"/>
        <v>042</v>
      </c>
      <c r="J18" s="13" t="s">
        <v>784</v>
      </c>
      <c r="K18" s="12" t="s">
        <v>783</v>
      </c>
      <c r="L18" t="s">
        <v>654</v>
      </c>
      <c r="M18" t="s">
        <v>785</v>
      </c>
      <c r="N18" t="str">
        <f t="shared" si="1"/>
        <v>('042','El Conde','FN_CHI_EL_CONDE',1,84,1),</v>
      </c>
      <c r="R18">
        <f t="shared" si="2"/>
        <v>33</v>
      </c>
    </row>
    <row r="19" spans="1:18" ht="22.5" hidden="1" x14ac:dyDescent="0.3">
      <c r="A19" s="6" t="s">
        <v>475</v>
      </c>
      <c r="B19" s="13">
        <v>93</v>
      </c>
      <c r="C19" s="13" t="s">
        <v>1343</v>
      </c>
      <c r="D19" s="6" t="s">
        <v>476</v>
      </c>
      <c r="E19">
        <v>1</v>
      </c>
      <c r="F19" s="14">
        <v>84</v>
      </c>
      <c r="G19">
        <v>1</v>
      </c>
      <c r="H19" s="13">
        <v>93</v>
      </c>
      <c r="I19" t="str">
        <f t="shared" si="0"/>
        <v>093</v>
      </c>
      <c r="J19" s="13" t="s">
        <v>784</v>
      </c>
      <c r="K19" s="12" t="s">
        <v>783</v>
      </c>
      <c r="L19" t="s">
        <v>654</v>
      </c>
      <c r="M19" t="s">
        <v>785</v>
      </c>
      <c r="N19" t="str">
        <f t="shared" si="1"/>
        <v>('093','Cotan y Palmas altas','FN_CHI_COTAN',1,84,1),</v>
      </c>
      <c r="R19">
        <f t="shared" si="2"/>
        <v>34</v>
      </c>
    </row>
    <row r="20" spans="1:18" ht="22.5" hidden="1" x14ac:dyDescent="0.3">
      <c r="A20" s="6" t="s">
        <v>481</v>
      </c>
      <c r="B20" s="13">
        <v>43</v>
      </c>
      <c r="C20" s="13" t="s">
        <v>1144</v>
      </c>
      <c r="D20" s="6" t="s">
        <v>482</v>
      </c>
      <c r="E20">
        <v>1</v>
      </c>
      <c r="F20" s="14">
        <v>85</v>
      </c>
      <c r="G20">
        <v>1</v>
      </c>
      <c r="H20" s="13">
        <v>43</v>
      </c>
      <c r="I20" t="str">
        <f t="shared" si="0"/>
        <v>043</v>
      </c>
      <c r="J20" s="13" t="s">
        <v>784</v>
      </c>
      <c r="K20" s="12" t="s">
        <v>783</v>
      </c>
      <c r="L20" t="s">
        <v>654</v>
      </c>
      <c r="M20" t="s">
        <v>785</v>
      </c>
      <c r="N20" t="str">
        <f t="shared" si="1"/>
        <v>('043','Nuestra señora','FN_CHI_NUESTRA_SRA',1,85,1),</v>
      </c>
      <c r="R20">
        <f t="shared" si="2"/>
        <v>35</v>
      </c>
    </row>
    <row r="21" spans="1:18" ht="22.5" hidden="1" x14ac:dyDescent="0.3">
      <c r="A21" s="6" t="s">
        <v>516</v>
      </c>
      <c r="B21" s="13">
        <v>6</v>
      </c>
      <c r="C21" s="13" t="s">
        <v>1145</v>
      </c>
      <c r="D21" s="6" t="s">
        <v>517</v>
      </c>
      <c r="E21">
        <v>1</v>
      </c>
      <c r="F21" s="14">
        <v>87</v>
      </c>
      <c r="G21">
        <v>1</v>
      </c>
      <c r="H21" s="13">
        <v>6</v>
      </c>
      <c r="I21" t="str">
        <f t="shared" si="0"/>
        <v>006</v>
      </c>
      <c r="J21" s="13" t="s">
        <v>784</v>
      </c>
      <c r="K21" s="12" t="s">
        <v>783</v>
      </c>
      <c r="L21" t="s">
        <v>654</v>
      </c>
      <c r="M21" t="s">
        <v>785</v>
      </c>
      <c r="N21" t="str">
        <f t="shared" si="1"/>
        <v>('006','San Joaquin','FN_CHI_SAN_JOAQUIN',1,87,1),</v>
      </c>
      <c r="R21">
        <f t="shared" si="2"/>
        <v>36</v>
      </c>
    </row>
    <row r="22" spans="1:18" ht="22.5" hidden="1" x14ac:dyDescent="0.3">
      <c r="A22" s="6" t="s">
        <v>559</v>
      </c>
      <c r="B22" s="13">
        <v>52</v>
      </c>
      <c r="C22" s="13" t="s">
        <v>1146</v>
      </c>
      <c r="D22" s="6" t="s">
        <v>560</v>
      </c>
      <c r="E22">
        <v>1</v>
      </c>
      <c r="F22" s="14">
        <v>88</v>
      </c>
      <c r="G22">
        <v>1</v>
      </c>
      <c r="H22" s="13">
        <v>52</v>
      </c>
      <c r="I22" t="str">
        <f t="shared" si="0"/>
        <v>052</v>
      </c>
      <c r="J22" s="13" t="s">
        <v>784</v>
      </c>
      <c r="K22" s="12" t="s">
        <v>783</v>
      </c>
      <c r="L22" t="s">
        <v>654</v>
      </c>
      <c r="M22" t="s">
        <v>785</v>
      </c>
      <c r="N22" t="str">
        <f t="shared" si="1"/>
        <v>('052','Miguel Aleman 2','FN_CHI_MI_ALEM2',1,88,1),</v>
      </c>
      <c r="R22">
        <f t="shared" si="2"/>
        <v>37</v>
      </c>
    </row>
    <row r="23" spans="1:18" ht="22.5" hidden="1" x14ac:dyDescent="0.3">
      <c r="A23" s="6" t="s">
        <v>133</v>
      </c>
      <c r="B23" s="13">
        <v>45</v>
      </c>
      <c r="C23" s="13" t="s">
        <v>700</v>
      </c>
      <c r="D23" s="6" t="s">
        <v>134</v>
      </c>
      <c r="E23">
        <v>1</v>
      </c>
      <c r="F23" s="14">
        <v>90</v>
      </c>
      <c r="G23">
        <v>1</v>
      </c>
      <c r="H23" s="13">
        <v>45</v>
      </c>
      <c r="I23" t="str">
        <f t="shared" si="0"/>
        <v>045</v>
      </c>
      <c r="J23" s="13" t="s">
        <v>784</v>
      </c>
      <c r="K23" s="12" t="s">
        <v>783</v>
      </c>
      <c r="L23" t="s">
        <v>654</v>
      </c>
      <c r="M23" t="s">
        <v>785</v>
      </c>
      <c r="N23" t="str">
        <f t="shared" si="1"/>
        <v>('045','Sector Mazatan','FN_CHI_MAZATAN',1,90,1),</v>
      </c>
      <c r="R23">
        <f t="shared" si="2"/>
        <v>38</v>
      </c>
    </row>
    <row r="24" spans="1:18" ht="22.5" hidden="1" x14ac:dyDescent="0.3">
      <c r="A24" s="6" t="s">
        <v>142</v>
      </c>
      <c r="B24" s="13">
        <v>56</v>
      </c>
      <c r="C24" s="13" t="s">
        <v>1147</v>
      </c>
      <c r="D24" s="6" t="s">
        <v>143</v>
      </c>
      <c r="E24">
        <v>1</v>
      </c>
      <c r="F24" s="14">
        <v>90</v>
      </c>
      <c r="G24">
        <v>1</v>
      </c>
      <c r="H24" s="13">
        <v>56</v>
      </c>
      <c r="I24" t="str">
        <f t="shared" si="0"/>
        <v>056</v>
      </c>
      <c r="J24" s="13" t="s">
        <v>784</v>
      </c>
      <c r="K24" s="12" t="s">
        <v>783</v>
      </c>
      <c r="L24" t="s">
        <v>654</v>
      </c>
      <c r="M24" t="s">
        <v>785</v>
      </c>
      <c r="N24" t="str">
        <f t="shared" si="1"/>
        <v>('056','San Isidro','FN_CHI_SAN_ISIDRO',1,90,1),</v>
      </c>
      <c r="R24">
        <f t="shared" si="2"/>
        <v>39</v>
      </c>
    </row>
    <row r="25" spans="1:18" ht="22.5" hidden="1" x14ac:dyDescent="0.3">
      <c r="A25" s="6" t="s">
        <v>96</v>
      </c>
      <c r="B25" s="13">
        <v>87</v>
      </c>
      <c r="C25" s="13" t="s">
        <v>1148</v>
      </c>
      <c r="D25" s="6" t="s">
        <v>97</v>
      </c>
      <c r="E25">
        <v>1</v>
      </c>
      <c r="F25" s="14">
        <v>90</v>
      </c>
      <c r="G25">
        <v>1</v>
      </c>
      <c r="H25" s="13">
        <v>87</v>
      </c>
      <c r="I25" t="str">
        <f t="shared" si="0"/>
        <v>087</v>
      </c>
      <c r="J25" s="13" t="s">
        <v>784</v>
      </c>
      <c r="K25" s="12" t="s">
        <v>783</v>
      </c>
      <c r="L25" t="s">
        <v>654</v>
      </c>
      <c r="M25" t="s">
        <v>785</v>
      </c>
      <c r="N25" t="str">
        <f t="shared" si="1"/>
        <v>('087','19 de Abril','FN_CHI_19_DE_ABRIL',1,90,1),</v>
      </c>
      <c r="R25">
        <f t="shared" si="2"/>
        <v>40</v>
      </c>
    </row>
    <row r="26" spans="1:18" ht="22.5" hidden="1" x14ac:dyDescent="0.3">
      <c r="A26" s="6" t="s">
        <v>100</v>
      </c>
      <c r="B26" s="13">
        <v>92</v>
      </c>
      <c r="C26" s="13" t="s">
        <v>1149</v>
      </c>
      <c r="D26" s="6" t="s">
        <v>101</v>
      </c>
      <c r="E26">
        <v>1</v>
      </c>
      <c r="F26" s="14">
        <v>90</v>
      </c>
      <c r="G26">
        <v>1</v>
      </c>
      <c r="H26" s="13">
        <v>92</v>
      </c>
      <c r="I26" t="str">
        <f t="shared" si="0"/>
        <v>092</v>
      </c>
      <c r="J26" s="13" t="s">
        <v>784</v>
      </c>
      <c r="K26" s="12" t="s">
        <v>783</v>
      </c>
      <c r="L26" t="s">
        <v>654</v>
      </c>
      <c r="M26" t="s">
        <v>785</v>
      </c>
      <c r="N26" t="str">
        <f t="shared" si="1"/>
        <v>('092','Composta','FN_CHI_COMPOSTA',1,90,1),</v>
      </c>
      <c r="R26">
        <f t="shared" si="2"/>
        <v>41</v>
      </c>
    </row>
    <row r="27" spans="1:18" ht="22.5" hidden="1" x14ac:dyDescent="0.3">
      <c r="A27" s="6" t="s">
        <v>555</v>
      </c>
      <c r="B27" s="13">
        <v>57</v>
      </c>
      <c r="C27" s="13" t="s">
        <v>1150</v>
      </c>
      <c r="D27" s="6" t="s">
        <v>556</v>
      </c>
      <c r="E27">
        <v>1</v>
      </c>
      <c r="F27" s="14">
        <v>91</v>
      </c>
      <c r="G27">
        <v>1</v>
      </c>
      <c r="H27" s="13">
        <v>57</v>
      </c>
      <c r="I27" t="str">
        <f t="shared" si="0"/>
        <v>057</v>
      </c>
      <c r="J27" s="13" t="s">
        <v>784</v>
      </c>
      <c r="K27" s="12" t="s">
        <v>783</v>
      </c>
      <c r="L27" t="s">
        <v>654</v>
      </c>
      <c r="M27" t="s">
        <v>785</v>
      </c>
      <c r="N27" t="str">
        <f t="shared" si="1"/>
        <v>('057','Tiquisate 1','FN_CHI_TIQUIZATE_1',1,91,1),</v>
      </c>
      <c r="R27">
        <f t="shared" si="2"/>
        <v>42</v>
      </c>
    </row>
    <row r="28" spans="1:18" ht="22.5" hidden="1" x14ac:dyDescent="0.3">
      <c r="A28" s="6" t="s">
        <v>418</v>
      </c>
      <c r="B28" s="13">
        <v>64</v>
      </c>
      <c r="C28" s="13" t="s">
        <v>1151</v>
      </c>
      <c r="D28" s="6" t="s">
        <v>417</v>
      </c>
      <c r="E28">
        <v>1</v>
      </c>
      <c r="F28" s="14">
        <v>95</v>
      </c>
      <c r="G28">
        <v>1</v>
      </c>
      <c r="H28" s="13">
        <v>64</v>
      </c>
      <c r="I28" t="str">
        <f t="shared" si="0"/>
        <v>064</v>
      </c>
      <c r="J28" s="13" t="s">
        <v>784</v>
      </c>
      <c r="K28" s="12" t="s">
        <v>783</v>
      </c>
      <c r="L28" t="s">
        <v>654</v>
      </c>
      <c r="M28" t="s">
        <v>785</v>
      </c>
      <c r="N28" t="str">
        <f t="shared" si="1"/>
        <v>('064','Santa Elena','FN_COL_SANTA_ELENA',1,95,1),</v>
      </c>
      <c r="R28">
        <f t="shared" si="2"/>
        <v>43</v>
      </c>
    </row>
    <row r="29" spans="1:18" ht="22.5" hidden="1" x14ac:dyDescent="0.3">
      <c r="A29" s="6" t="s">
        <v>104</v>
      </c>
      <c r="B29" s="13">
        <v>22</v>
      </c>
      <c r="C29" s="13" t="s">
        <v>1152</v>
      </c>
      <c r="D29" s="6" t="s">
        <v>105</v>
      </c>
      <c r="E29">
        <v>1</v>
      </c>
      <c r="F29" s="14">
        <v>103</v>
      </c>
      <c r="G29">
        <v>1</v>
      </c>
      <c r="H29" s="13">
        <v>22</v>
      </c>
      <c r="I29" t="str">
        <f t="shared" si="0"/>
        <v>022</v>
      </c>
      <c r="J29" s="13" t="s">
        <v>784</v>
      </c>
      <c r="K29" s="12" t="s">
        <v>783</v>
      </c>
      <c r="L29" t="s">
        <v>654</v>
      </c>
      <c r="M29" t="s">
        <v>785</v>
      </c>
      <c r="N29" t="str">
        <f t="shared" si="1"/>
        <v>('022','Doña Mildred','FN_CHI_DONA_MILDRE',1,103,1),</v>
      </c>
      <c r="R29">
        <f t="shared" si="2"/>
        <v>44</v>
      </c>
    </row>
    <row r="30" spans="1:18" ht="22.5" hidden="1" x14ac:dyDescent="0.3">
      <c r="A30" s="6" t="s">
        <v>148</v>
      </c>
      <c r="B30" s="13">
        <v>31</v>
      </c>
      <c r="C30" s="13" t="s">
        <v>1153</v>
      </c>
      <c r="D30" s="6" t="s">
        <v>149</v>
      </c>
      <c r="E30">
        <v>1</v>
      </c>
      <c r="F30" s="14">
        <v>103</v>
      </c>
      <c r="G30">
        <v>1</v>
      </c>
      <c r="H30" s="13">
        <v>31</v>
      </c>
      <c r="I30" t="str">
        <f t="shared" si="0"/>
        <v>031</v>
      </c>
      <c r="J30" s="13" t="s">
        <v>784</v>
      </c>
      <c r="K30" s="12" t="s">
        <v>783</v>
      </c>
      <c r="L30" t="s">
        <v>654</v>
      </c>
      <c r="M30" t="s">
        <v>785</v>
      </c>
      <c r="N30" t="str">
        <f t="shared" si="1"/>
        <v>('031','Vigor','FN_CHI_VIGOR',1,103,1),</v>
      </c>
      <c r="R30">
        <f t="shared" si="2"/>
        <v>45</v>
      </c>
    </row>
    <row r="31" spans="1:18" ht="22.5" hidden="1" x14ac:dyDescent="0.3">
      <c r="A31" s="6" t="s">
        <v>102</v>
      </c>
      <c r="B31" s="13">
        <v>67</v>
      </c>
      <c r="C31" s="13" t="s">
        <v>1154</v>
      </c>
      <c r="D31" s="6" t="s">
        <v>103</v>
      </c>
      <c r="E31">
        <v>1</v>
      </c>
      <c r="F31" s="14">
        <v>103</v>
      </c>
      <c r="G31">
        <v>1</v>
      </c>
      <c r="H31" s="13">
        <v>67</v>
      </c>
      <c r="I31" t="str">
        <f t="shared" si="0"/>
        <v>067</v>
      </c>
      <c r="J31" s="13" t="s">
        <v>784</v>
      </c>
      <c r="K31" s="12" t="s">
        <v>783</v>
      </c>
      <c r="L31" t="s">
        <v>654</v>
      </c>
      <c r="M31" t="s">
        <v>785</v>
      </c>
      <c r="N31" t="str">
        <f t="shared" si="1"/>
        <v>('067','El Cuerudo GT','FN_CHI_CUERUDO',1,103,1),</v>
      </c>
      <c r="R31">
        <f t="shared" si="2"/>
        <v>46</v>
      </c>
    </row>
    <row r="32" spans="1:18" ht="22.5" hidden="1" x14ac:dyDescent="0.3">
      <c r="A32" s="6" t="s">
        <v>108</v>
      </c>
      <c r="B32" s="13">
        <v>77</v>
      </c>
      <c r="C32" s="13" t="s">
        <v>1155</v>
      </c>
      <c r="D32" s="6" t="s">
        <v>109</v>
      </c>
      <c r="E32">
        <v>1</v>
      </c>
      <c r="F32" s="14">
        <v>104</v>
      </c>
      <c r="G32">
        <v>1</v>
      </c>
      <c r="H32" s="13">
        <v>77</v>
      </c>
      <c r="I32" t="str">
        <f t="shared" si="0"/>
        <v>077</v>
      </c>
      <c r="J32" s="13" t="s">
        <v>784</v>
      </c>
      <c r="K32" s="12" t="s">
        <v>783</v>
      </c>
      <c r="L32" t="s">
        <v>654</v>
      </c>
      <c r="M32" t="s">
        <v>785</v>
      </c>
      <c r="N32" t="str">
        <f t="shared" si="1"/>
        <v>('077','Dorado  Nuevo','FN_CHI_DORADO_NUEV',1,104,1),</v>
      </c>
      <c r="R32">
        <f t="shared" si="2"/>
        <v>47</v>
      </c>
    </row>
    <row r="33" spans="1:18" ht="22.5" hidden="1" x14ac:dyDescent="0.3">
      <c r="A33" s="6" t="s">
        <v>530</v>
      </c>
      <c r="B33" s="13">
        <v>99</v>
      </c>
      <c r="C33" s="13" t="s">
        <v>1156</v>
      </c>
      <c r="D33" s="6" t="s">
        <v>531</v>
      </c>
      <c r="E33">
        <v>1</v>
      </c>
      <c r="F33" s="14">
        <v>104</v>
      </c>
      <c r="G33">
        <v>1</v>
      </c>
      <c r="H33" s="13">
        <v>99</v>
      </c>
      <c r="I33" t="str">
        <f t="shared" si="0"/>
        <v>099</v>
      </c>
      <c r="J33" s="13" t="s">
        <v>784</v>
      </c>
      <c r="K33" s="12" t="s">
        <v>783</v>
      </c>
      <c r="L33" t="s">
        <v>654</v>
      </c>
      <c r="M33" t="s">
        <v>785</v>
      </c>
      <c r="N33" t="str">
        <f t="shared" si="1"/>
        <v>('099','Empaque 1 Diaz Ordaz','FN_CHI_DIAZ_ORDAZ',1,104,1),</v>
      </c>
      <c r="R33">
        <f t="shared" si="2"/>
        <v>48</v>
      </c>
    </row>
    <row r="34" spans="1:18" ht="22.5" hidden="1" x14ac:dyDescent="0.3">
      <c r="A34" s="6" t="s">
        <v>135</v>
      </c>
      <c r="B34" s="13">
        <v>73</v>
      </c>
      <c r="C34" s="13" t="s">
        <v>1157</v>
      </c>
      <c r="D34" s="6" t="s">
        <v>136</v>
      </c>
      <c r="E34">
        <v>1</v>
      </c>
      <c r="F34" s="14">
        <v>105</v>
      </c>
      <c r="G34">
        <v>1</v>
      </c>
      <c r="H34" s="13">
        <v>73</v>
      </c>
      <c r="I34" t="str">
        <f t="shared" si="0"/>
        <v>073</v>
      </c>
      <c r="J34" s="13" t="s">
        <v>784</v>
      </c>
      <c r="K34" s="12" t="s">
        <v>783</v>
      </c>
      <c r="L34" t="s">
        <v>654</v>
      </c>
      <c r="M34" t="s">
        <v>785</v>
      </c>
      <c r="N34" t="str">
        <f t="shared" si="1"/>
        <v>('073','Plantacion','FN_CHI_PLANTACION',1,105,1),</v>
      </c>
      <c r="R34">
        <f t="shared" si="2"/>
        <v>49</v>
      </c>
    </row>
    <row r="35" spans="1:18" ht="22.5" hidden="1" x14ac:dyDescent="0.3">
      <c r="A35" s="6" t="s">
        <v>129</v>
      </c>
      <c r="B35" s="13">
        <v>82</v>
      </c>
      <c r="C35" s="13" t="s">
        <v>1158</v>
      </c>
      <c r="D35" s="6" t="s">
        <v>130</v>
      </c>
      <c r="E35">
        <v>1</v>
      </c>
      <c r="F35" s="14">
        <v>112</v>
      </c>
      <c r="G35">
        <v>1</v>
      </c>
      <c r="H35" s="13">
        <v>82</v>
      </c>
      <c r="I35" t="str">
        <f t="shared" si="0"/>
        <v>082</v>
      </c>
      <c r="J35" s="13" t="s">
        <v>784</v>
      </c>
      <c r="K35" s="12" t="s">
        <v>783</v>
      </c>
      <c r="L35" t="s">
        <v>654</v>
      </c>
      <c r="M35" t="s">
        <v>785</v>
      </c>
      <c r="N35" t="str">
        <f t="shared" si="1"/>
        <v>('082','Empaque de Macho Ej Libertad','FN_CHI_MACH_LIB',1,112,1),</v>
      </c>
      <c r="R35">
        <f t="shared" si="2"/>
        <v>50</v>
      </c>
    </row>
    <row r="36" spans="1:18" ht="22.5" hidden="1" x14ac:dyDescent="0.3">
      <c r="A36" s="6" t="s">
        <v>121</v>
      </c>
      <c r="B36" s="13">
        <v>75</v>
      </c>
      <c r="C36" s="13" t="s">
        <v>1159</v>
      </c>
      <c r="D36" s="6" t="s">
        <v>122</v>
      </c>
      <c r="E36">
        <v>1</v>
      </c>
      <c r="F36" s="14">
        <v>113</v>
      </c>
      <c r="G36">
        <v>1</v>
      </c>
      <c r="H36" s="13">
        <v>75</v>
      </c>
      <c r="I36" t="str">
        <f t="shared" si="0"/>
        <v>075</v>
      </c>
      <c r="J36" s="13" t="s">
        <v>784</v>
      </c>
      <c r="K36" s="12" t="s">
        <v>783</v>
      </c>
      <c r="L36" t="s">
        <v>654</v>
      </c>
      <c r="M36" t="s">
        <v>785</v>
      </c>
      <c r="N36" t="str">
        <f t="shared" si="1"/>
        <v>('075','Heidy','FN_CHI_HEIDY',1,113,1),</v>
      </c>
      <c r="R36">
        <f t="shared" si="2"/>
        <v>51</v>
      </c>
    </row>
    <row r="37" spans="1:18" ht="22.5" hidden="1" x14ac:dyDescent="0.3">
      <c r="A37" s="6" t="s">
        <v>119</v>
      </c>
      <c r="B37" s="13">
        <v>90</v>
      </c>
      <c r="C37" s="13" t="s">
        <v>1160</v>
      </c>
      <c r="D37" s="6" t="s">
        <v>120</v>
      </c>
      <c r="E37">
        <v>1</v>
      </c>
      <c r="F37" s="14">
        <v>113</v>
      </c>
      <c r="G37">
        <v>1</v>
      </c>
      <c r="H37" s="13">
        <v>90</v>
      </c>
      <c r="I37" t="str">
        <f t="shared" si="0"/>
        <v>090</v>
      </c>
      <c r="J37" s="13" t="s">
        <v>784</v>
      </c>
      <c r="K37" s="12" t="s">
        <v>783</v>
      </c>
      <c r="L37" t="s">
        <v>654</v>
      </c>
      <c r="M37" t="s">
        <v>785</v>
      </c>
      <c r="N37" t="str">
        <f t="shared" si="1"/>
        <v>('090','Heavy','FN_CHI_HEAVY',1,113,1),</v>
      </c>
      <c r="R37">
        <f t="shared" si="2"/>
        <v>52</v>
      </c>
    </row>
    <row r="38" spans="1:18" ht="22.5" hidden="1" x14ac:dyDescent="0.3">
      <c r="A38" s="6" t="s">
        <v>125</v>
      </c>
      <c r="B38" s="13">
        <v>94</v>
      </c>
      <c r="C38" s="13" t="s">
        <v>1161</v>
      </c>
      <c r="D38" s="6" t="s">
        <v>126</v>
      </c>
      <c r="E38">
        <v>1</v>
      </c>
      <c r="F38" s="14">
        <v>115</v>
      </c>
      <c r="G38">
        <v>1</v>
      </c>
      <c r="H38" s="13">
        <v>94</v>
      </c>
      <c r="I38" t="str">
        <f t="shared" si="0"/>
        <v>094</v>
      </c>
      <c r="J38" s="13" t="s">
        <v>784</v>
      </c>
      <c r="K38" s="12" t="s">
        <v>783</v>
      </c>
      <c r="L38" t="s">
        <v>654</v>
      </c>
      <c r="M38" t="s">
        <v>785</v>
      </c>
      <c r="N38" t="str">
        <f t="shared" si="1"/>
        <v>('094','Lagartero','FN_CHI_LAGARTERO',1,115,1),</v>
      </c>
      <c r="R38">
        <f t="shared" si="2"/>
        <v>53</v>
      </c>
    </row>
    <row r="39" spans="1:18" ht="22.5" hidden="1" x14ac:dyDescent="0.3">
      <c r="A39" s="6" t="s">
        <v>114</v>
      </c>
      <c r="B39" s="13">
        <v>95</v>
      </c>
      <c r="C39" s="13" t="s">
        <v>1162</v>
      </c>
      <c r="D39" s="6" t="s">
        <v>113</v>
      </c>
      <c r="E39">
        <v>1</v>
      </c>
      <c r="F39" s="14">
        <v>116</v>
      </c>
      <c r="G39">
        <v>1</v>
      </c>
      <c r="H39" s="13">
        <v>95</v>
      </c>
      <c r="I39" t="str">
        <f t="shared" si="0"/>
        <v>095</v>
      </c>
      <c r="J39" s="13" t="s">
        <v>784</v>
      </c>
      <c r="K39" s="12" t="s">
        <v>783</v>
      </c>
      <c r="L39" t="s">
        <v>654</v>
      </c>
      <c r="M39" t="s">
        <v>785</v>
      </c>
      <c r="N39" t="str">
        <f t="shared" si="1"/>
        <v>('095','Esquipulas','FN_CHI_ESQUIPULAS',1,116,1),</v>
      </c>
      <c r="R39">
        <f t="shared" si="2"/>
        <v>54</v>
      </c>
    </row>
    <row r="40" spans="1:18" ht="22.5" hidden="1" x14ac:dyDescent="0.3">
      <c r="A40" s="6" t="s">
        <v>112</v>
      </c>
      <c r="B40" s="13">
        <v>95</v>
      </c>
      <c r="C40" s="13" t="s">
        <v>1162</v>
      </c>
      <c r="D40" s="6" t="s">
        <v>113</v>
      </c>
      <c r="E40">
        <v>1</v>
      </c>
      <c r="F40" s="14">
        <v>116</v>
      </c>
      <c r="G40">
        <v>1</v>
      </c>
      <c r="H40" s="13">
        <v>95</v>
      </c>
      <c r="I40" t="str">
        <f t="shared" si="0"/>
        <v>095</v>
      </c>
      <c r="J40" s="13" t="s">
        <v>784</v>
      </c>
      <c r="K40" s="12" t="s">
        <v>783</v>
      </c>
      <c r="L40" t="s">
        <v>654</v>
      </c>
      <c r="M40" t="s">
        <v>785</v>
      </c>
      <c r="N40" t="str">
        <f t="shared" si="1"/>
        <v>('095','Esquipulas','FN_CHI_ESQUIPULAS',1,116,1),</v>
      </c>
      <c r="R40">
        <f t="shared" si="2"/>
        <v>55</v>
      </c>
    </row>
    <row r="41" spans="1:18" ht="22.5" hidden="1" x14ac:dyDescent="0.3">
      <c r="A41" s="6" t="s">
        <v>477</v>
      </c>
      <c r="B41" s="13">
        <v>96</v>
      </c>
      <c r="C41" s="13" t="s">
        <v>1163</v>
      </c>
      <c r="D41" s="6" t="s">
        <v>478</v>
      </c>
      <c r="E41">
        <v>1</v>
      </c>
      <c r="F41" s="14">
        <v>117</v>
      </c>
      <c r="G41">
        <v>1</v>
      </c>
      <c r="H41" s="13">
        <v>96</v>
      </c>
      <c r="I41" t="str">
        <f t="shared" si="0"/>
        <v>096</v>
      </c>
      <c r="J41" s="13" t="s">
        <v>784</v>
      </c>
      <c r="K41" s="12" t="s">
        <v>783</v>
      </c>
      <c r="L41" t="s">
        <v>654</v>
      </c>
      <c r="M41" t="s">
        <v>785</v>
      </c>
      <c r="N41" t="str">
        <f t="shared" si="1"/>
        <v>('096','Cuauhtemoc','FN_CHI_CUAUHTEMOC',1,117,1),</v>
      </c>
      <c r="R41">
        <f t="shared" si="2"/>
        <v>56</v>
      </c>
    </row>
    <row r="42" spans="1:18" ht="22.5" hidden="1" x14ac:dyDescent="0.3">
      <c r="A42" s="6" t="s">
        <v>536</v>
      </c>
      <c r="B42" s="13">
        <v>5</v>
      </c>
      <c r="C42" s="13" t="s">
        <v>1134</v>
      </c>
      <c r="D42" s="6" t="s">
        <v>118</v>
      </c>
      <c r="E42">
        <v>1</v>
      </c>
      <c r="F42" s="14">
        <v>118</v>
      </c>
      <c r="G42">
        <v>1</v>
      </c>
      <c r="H42" s="13">
        <v>5</v>
      </c>
      <c r="I42" t="str">
        <f t="shared" si="0"/>
        <v>005</v>
      </c>
      <c r="J42" s="13" t="s">
        <v>784</v>
      </c>
      <c r="K42" s="12" t="s">
        <v>783</v>
      </c>
      <c r="L42" t="s">
        <v>654</v>
      </c>
      <c r="M42" t="s">
        <v>785</v>
      </c>
      <c r="N42" t="str">
        <f t="shared" si="1"/>
        <v>('005','La Gloria','FN_CHI_GLORIA',1,118,1),</v>
      </c>
      <c r="R42">
        <f t="shared" si="2"/>
        <v>57</v>
      </c>
    </row>
    <row r="43" spans="1:18" ht="22.5" hidden="1" x14ac:dyDescent="0.3">
      <c r="A43" s="6" t="s">
        <v>392</v>
      </c>
      <c r="B43" s="13">
        <v>3</v>
      </c>
      <c r="C43" s="13" t="s">
        <v>1164</v>
      </c>
      <c r="D43" s="6" t="s">
        <v>393</v>
      </c>
      <c r="E43">
        <v>2</v>
      </c>
      <c r="F43" s="14">
        <v>119</v>
      </c>
      <c r="G43">
        <v>1</v>
      </c>
      <c r="H43" s="13">
        <v>3</v>
      </c>
      <c r="I43" t="str">
        <f t="shared" si="0"/>
        <v>003</v>
      </c>
      <c r="J43" s="13" t="s">
        <v>784</v>
      </c>
      <c r="K43" s="12" t="s">
        <v>783</v>
      </c>
      <c r="L43" t="s">
        <v>654</v>
      </c>
      <c r="M43" t="s">
        <v>785</v>
      </c>
      <c r="N43" t="str">
        <f t="shared" si="1"/>
        <v>('003','Pitillo','FN_COL_PITILLO',2,119,1),</v>
      </c>
      <c r="R43">
        <f t="shared" si="2"/>
        <v>58</v>
      </c>
    </row>
    <row r="44" spans="1:18" ht="22.5" hidden="1" x14ac:dyDescent="0.3">
      <c r="A44" s="6" t="s">
        <v>198</v>
      </c>
      <c r="B44" s="13">
        <v>6</v>
      </c>
      <c r="C44" s="13" t="s">
        <v>1165</v>
      </c>
      <c r="D44" s="6" t="s">
        <v>199</v>
      </c>
      <c r="E44">
        <v>2</v>
      </c>
      <c r="F44" s="14">
        <v>119</v>
      </c>
      <c r="G44">
        <v>1</v>
      </c>
      <c r="H44" s="13">
        <v>6</v>
      </c>
      <c r="I44" t="str">
        <f t="shared" si="0"/>
        <v>006</v>
      </c>
      <c r="J44" s="13" t="s">
        <v>784</v>
      </c>
      <c r="K44" s="12" t="s">
        <v>783</v>
      </c>
      <c r="L44" t="s">
        <v>654</v>
      </c>
      <c r="M44" t="s">
        <v>785</v>
      </c>
      <c r="N44" t="str">
        <f t="shared" si="1"/>
        <v>('006','Chocokillo','FN_COL_CHOCOKILLO',2,119,1),</v>
      </c>
      <c r="R44">
        <f t="shared" si="2"/>
        <v>59</v>
      </c>
    </row>
    <row r="45" spans="1:18" ht="22.5" hidden="1" x14ac:dyDescent="0.3">
      <c r="A45" s="6" t="s">
        <v>163</v>
      </c>
      <c r="B45" s="13">
        <v>16</v>
      </c>
      <c r="C45" s="13" t="s">
        <v>1166</v>
      </c>
      <c r="D45" s="6" t="s">
        <v>164</v>
      </c>
      <c r="E45">
        <v>2</v>
      </c>
      <c r="F45" s="14">
        <v>119</v>
      </c>
      <c r="G45">
        <v>1</v>
      </c>
      <c r="H45" s="13">
        <v>16</v>
      </c>
      <c r="I45" t="str">
        <f t="shared" si="0"/>
        <v>016</v>
      </c>
      <c r="J45" s="13" t="s">
        <v>784</v>
      </c>
      <c r="K45" s="12" t="s">
        <v>783</v>
      </c>
      <c r="L45" t="s">
        <v>654</v>
      </c>
      <c r="M45" t="s">
        <v>785</v>
      </c>
      <c r="N45" t="str">
        <f t="shared" si="1"/>
        <v>('016','Aldo Bravo','FN_COL_ALDO_BRAVO',2,119,1),</v>
      </c>
      <c r="R45">
        <f t="shared" si="2"/>
        <v>60</v>
      </c>
    </row>
    <row r="46" spans="1:18" ht="22.5" hidden="1" x14ac:dyDescent="0.3">
      <c r="A46" s="6" t="s">
        <v>261</v>
      </c>
      <c r="B46" s="13">
        <v>19</v>
      </c>
      <c r="C46" s="13" t="s">
        <v>1167</v>
      </c>
      <c r="D46" s="6" t="s">
        <v>262</v>
      </c>
      <c r="E46">
        <v>2</v>
      </c>
      <c r="F46" s="14">
        <v>119</v>
      </c>
      <c r="G46">
        <v>1</v>
      </c>
      <c r="H46" s="13">
        <v>19</v>
      </c>
      <c r="I46" t="str">
        <f t="shared" si="0"/>
        <v>019</v>
      </c>
      <c r="J46" s="13" t="s">
        <v>784</v>
      </c>
      <c r="K46" s="12" t="s">
        <v>783</v>
      </c>
      <c r="L46" t="s">
        <v>654</v>
      </c>
      <c r="M46" t="s">
        <v>785</v>
      </c>
      <c r="N46" t="str">
        <f t="shared" si="1"/>
        <v>('019','Jesus Mendoza','FN_COL_JES_MEN',2,119,1),</v>
      </c>
      <c r="R46">
        <f t="shared" si="2"/>
        <v>61</v>
      </c>
    </row>
    <row r="47" spans="1:18" ht="22.5" hidden="1" x14ac:dyDescent="0.3">
      <c r="A47" s="6" t="s">
        <v>153</v>
      </c>
      <c r="B47" s="13">
        <v>20</v>
      </c>
      <c r="C47" s="13" t="s">
        <v>1168</v>
      </c>
      <c r="D47" s="6" t="s">
        <v>154</v>
      </c>
      <c r="E47">
        <v>2</v>
      </c>
      <c r="F47" s="14">
        <v>119</v>
      </c>
      <c r="G47">
        <v>1</v>
      </c>
      <c r="H47" s="13">
        <v>20</v>
      </c>
      <c r="I47" t="str">
        <f t="shared" si="0"/>
        <v>020</v>
      </c>
      <c r="J47" s="13" t="s">
        <v>784</v>
      </c>
      <c r="K47" s="12" t="s">
        <v>783</v>
      </c>
      <c r="L47" t="s">
        <v>654</v>
      </c>
      <c r="M47" t="s">
        <v>785</v>
      </c>
      <c r="N47" t="str">
        <f t="shared" si="1"/>
        <v>('020','Ada Nares','FN_COL_ADA_NARES',2,119,1),</v>
      </c>
      <c r="R47">
        <f t="shared" si="2"/>
        <v>62</v>
      </c>
    </row>
    <row r="48" spans="1:18" ht="22.5" hidden="1" x14ac:dyDescent="0.3">
      <c r="A48" s="6" t="s">
        <v>430</v>
      </c>
      <c r="B48" s="13">
        <v>22</v>
      </c>
      <c r="C48" s="13" t="s">
        <v>1169</v>
      </c>
      <c r="D48" s="6" t="s">
        <v>431</v>
      </c>
      <c r="E48">
        <v>2</v>
      </c>
      <c r="F48" s="14">
        <v>119</v>
      </c>
      <c r="G48">
        <v>1</v>
      </c>
      <c r="H48" s="13">
        <v>22</v>
      </c>
      <c r="I48" t="str">
        <f t="shared" si="0"/>
        <v>022</v>
      </c>
      <c r="J48" s="13" t="s">
        <v>784</v>
      </c>
      <c r="K48" s="12" t="s">
        <v>783</v>
      </c>
      <c r="L48" t="s">
        <v>654</v>
      </c>
      <c r="M48" t="s">
        <v>785</v>
      </c>
      <c r="N48" t="str">
        <f t="shared" si="1"/>
        <v>('022','Ticho','FN_COL_TICHO',2,119,1),</v>
      </c>
      <c r="R48">
        <f t="shared" si="2"/>
        <v>63</v>
      </c>
    </row>
    <row r="49" spans="1:18" ht="22.5" hidden="1" x14ac:dyDescent="0.3">
      <c r="A49" s="6" t="s">
        <v>170</v>
      </c>
      <c r="B49" s="13">
        <v>24</v>
      </c>
      <c r="C49" s="13" t="s">
        <v>1170</v>
      </c>
      <c r="D49" s="6" t="s">
        <v>171</v>
      </c>
      <c r="E49">
        <v>2</v>
      </c>
      <c r="F49" s="14">
        <v>119</v>
      </c>
      <c r="G49">
        <v>1</v>
      </c>
      <c r="H49" s="13">
        <v>24</v>
      </c>
      <c r="I49" t="str">
        <f t="shared" si="0"/>
        <v>024</v>
      </c>
      <c r="J49" s="13" t="s">
        <v>784</v>
      </c>
      <c r="K49" s="12" t="s">
        <v>783</v>
      </c>
      <c r="L49" t="s">
        <v>654</v>
      </c>
      <c r="M49" t="s">
        <v>785</v>
      </c>
      <c r="N49" t="str">
        <f t="shared" si="1"/>
        <v>('024','Ricardo Botelo','FN_COL_BOTELLO',2,119,1),</v>
      </c>
      <c r="R49">
        <f t="shared" si="2"/>
        <v>64</v>
      </c>
    </row>
    <row r="50" spans="1:18" ht="22.5" hidden="1" x14ac:dyDescent="0.3">
      <c r="A50" s="6" t="s">
        <v>368</v>
      </c>
      <c r="B50" s="13">
        <v>26</v>
      </c>
      <c r="C50" s="13" t="s">
        <v>1171</v>
      </c>
      <c r="D50" s="6" t="s">
        <v>369</v>
      </c>
      <c r="E50">
        <v>2</v>
      </c>
      <c r="F50" s="14">
        <v>119</v>
      </c>
      <c r="G50">
        <v>1</v>
      </c>
      <c r="H50" s="13">
        <v>26</v>
      </c>
      <c r="I50" t="str">
        <f t="shared" si="0"/>
        <v>026</v>
      </c>
      <c r="J50" s="13" t="s">
        <v>784</v>
      </c>
      <c r="K50" s="12" t="s">
        <v>783</v>
      </c>
      <c r="L50" t="s">
        <v>654</v>
      </c>
      <c r="M50" t="s">
        <v>785</v>
      </c>
      <c r="N50" t="str">
        <f t="shared" si="1"/>
        <v>('026','Orliz','FN_COL_ORLIZ',2,119,1),</v>
      </c>
      <c r="R50">
        <f t="shared" si="2"/>
        <v>65</v>
      </c>
    </row>
    <row r="51" spans="1:18" ht="22.5" hidden="1" x14ac:dyDescent="0.3">
      <c r="A51" s="6" t="s">
        <v>565</v>
      </c>
      <c r="B51" s="13">
        <v>27</v>
      </c>
      <c r="C51" s="13" t="s">
        <v>1172</v>
      </c>
      <c r="D51" s="6" t="s">
        <v>566</v>
      </c>
      <c r="E51">
        <v>2</v>
      </c>
      <c r="F51" s="14">
        <v>119</v>
      </c>
      <c r="G51">
        <v>1</v>
      </c>
      <c r="H51" s="13">
        <v>27</v>
      </c>
      <c r="I51" t="str">
        <f t="shared" si="0"/>
        <v>027</v>
      </c>
      <c r="J51" s="13" t="s">
        <v>784</v>
      </c>
      <c r="K51" s="12" t="s">
        <v>783</v>
      </c>
      <c r="L51" t="s">
        <v>654</v>
      </c>
      <c r="M51" t="s">
        <v>785</v>
      </c>
      <c r="N51" t="str">
        <f t="shared" si="1"/>
        <v>('027','Las Fosas','FN_COL_LAS_FOSAS',2,119,1),</v>
      </c>
      <c r="R51">
        <f t="shared" si="2"/>
        <v>66</v>
      </c>
    </row>
    <row r="52" spans="1:18" ht="22.5" hidden="1" x14ac:dyDescent="0.3">
      <c r="A52" s="6" t="s">
        <v>308</v>
      </c>
      <c r="B52" s="13">
        <v>33</v>
      </c>
      <c r="C52" s="13" t="s">
        <v>1173</v>
      </c>
      <c r="D52" s="6" t="s">
        <v>309</v>
      </c>
      <c r="E52">
        <v>2</v>
      </c>
      <c r="F52" s="14">
        <v>119</v>
      </c>
      <c r="G52">
        <v>1</v>
      </c>
      <c r="H52" s="13">
        <v>33</v>
      </c>
      <c r="I52" t="str">
        <f t="shared" si="0"/>
        <v>033</v>
      </c>
      <c r="J52" s="13" t="s">
        <v>784</v>
      </c>
      <c r="K52" s="12" t="s">
        <v>783</v>
      </c>
      <c r="L52" t="s">
        <v>654</v>
      </c>
      <c r="M52" t="s">
        <v>785</v>
      </c>
      <c r="N52" t="str">
        <f t="shared" si="1"/>
        <v>('033','Soledad','FN_COL_LA_SOLEDAD',2,119,1),</v>
      </c>
      <c r="R52">
        <f t="shared" si="2"/>
        <v>67</v>
      </c>
    </row>
    <row r="53" spans="1:18" ht="22.5" hidden="1" x14ac:dyDescent="0.3">
      <c r="A53" s="6" t="s">
        <v>400</v>
      </c>
      <c r="B53" s="13">
        <v>36</v>
      </c>
      <c r="C53" s="13" t="s">
        <v>1174</v>
      </c>
      <c r="D53" s="6" t="s">
        <v>401</v>
      </c>
      <c r="E53">
        <v>2</v>
      </c>
      <c r="F53" s="14">
        <v>119</v>
      </c>
      <c r="G53">
        <v>1</v>
      </c>
      <c r="H53" s="13">
        <v>36</v>
      </c>
      <c r="I53" t="str">
        <f t="shared" si="0"/>
        <v>036</v>
      </c>
      <c r="J53" s="13" t="s">
        <v>784</v>
      </c>
      <c r="K53" s="12" t="s">
        <v>783</v>
      </c>
      <c r="L53" t="s">
        <v>654</v>
      </c>
      <c r="M53" t="s">
        <v>785</v>
      </c>
      <c r="N53" t="str">
        <f t="shared" si="1"/>
        <v>('036','Rio WP','FN_COL_RIO_WILMAR',2,119,1),</v>
      </c>
      <c r="R53">
        <f t="shared" si="2"/>
        <v>68</v>
      </c>
    </row>
    <row r="54" spans="1:18" ht="22.5" hidden="1" x14ac:dyDescent="0.3">
      <c r="A54" s="6" t="s">
        <v>226</v>
      </c>
      <c r="B54" s="13">
        <v>53</v>
      </c>
      <c r="C54" s="13" t="s">
        <v>1175</v>
      </c>
      <c r="D54" s="6" t="s">
        <v>224</v>
      </c>
      <c r="E54">
        <v>2</v>
      </c>
      <c r="F54" s="14">
        <v>119</v>
      </c>
      <c r="G54">
        <v>1</v>
      </c>
      <c r="H54" s="13">
        <v>53</v>
      </c>
      <c r="I54" t="str">
        <f t="shared" si="0"/>
        <v>053</v>
      </c>
      <c r="J54" s="13" t="s">
        <v>784</v>
      </c>
      <c r="K54" s="12" t="s">
        <v>783</v>
      </c>
      <c r="L54" t="s">
        <v>654</v>
      </c>
      <c r="M54" t="s">
        <v>785</v>
      </c>
      <c r="N54" t="str">
        <f t="shared" si="1"/>
        <v>('053','Cahuite Ricamp','FN_COL_EL_CAHUITE',2,119,1),</v>
      </c>
      <c r="R54">
        <f t="shared" si="2"/>
        <v>69</v>
      </c>
    </row>
    <row r="55" spans="1:18" ht="22.5" hidden="1" x14ac:dyDescent="0.3">
      <c r="A55" s="6" t="s">
        <v>225</v>
      </c>
      <c r="B55" s="13">
        <v>53</v>
      </c>
      <c r="C55" s="13" t="s">
        <v>1176</v>
      </c>
      <c r="D55" s="6" t="s">
        <v>224</v>
      </c>
      <c r="E55">
        <v>2</v>
      </c>
      <c r="F55" s="14">
        <v>119</v>
      </c>
      <c r="G55">
        <v>1</v>
      </c>
      <c r="H55" s="13">
        <v>53</v>
      </c>
      <c r="I55" t="str">
        <f t="shared" si="0"/>
        <v>053</v>
      </c>
      <c r="J55" s="13" t="s">
        <v>784</v>
      </c>
      <c r="K55" s="12" t="s">
        <v>783</v>
      </c>
      <c r="L55" t="s">
        <v>654</v>
      </c>
      <c r="M55" t="s">
        <v>785</v>
      </c>
      <c r="N55" t="str">
        <f t="shared" si="1"/>
        <v>('053','Cahuite RPC','FN_COL_EL_CAHUITE',2,119,1),</v>
      </c>
      <c r="R55">
        <f t="shared" si="2"/>
        <v>70</v>
      </c>
    </row>
    <row r="56" spans="1:18" ht="22.5" hidden="1" x14ac:dyDescent="0.3">
      <c r="A56" s="6" t="s">
        <v>328</v>
      </c>
      <c r="B56" s="13">
        <v>77</v>
      </c>
      <c r="C56" s="13" t="s">
        <v>1177</v>
      </c>
      <c r="D56" s="6" t="s">
        <v>329</v>
      </c>
      <c r="E56">
        <v>2</v>
      </c>
      <c r="F56" s="14">
        <v>119</v>
      </c>
      <c r="G56">
        <v>1</v>
      </c>
      <c r="H56" s="13">
        <v>77</v>
      </c>
      <c r="I56" t="str">
        <f t="shared" si="0"/>
        <v>077</v>
      </c>
      <c r="J56" s="13" t="s">
        <v>784</v>
      </c>
      <c r="K56" s="12" t="s">
        <v>783</v>
      </c>
      <c r="L56" t="s">
        <v>654</v>
      </c>
      <c r="M56" t="s">
        <v>785</v>
      </c>
      <c r="N56" t="str">
        <f t="shared" si="1"/>
        <v>('077','Las Parotas','FN_COL_LAS_PAROTAS',2,119,1),</v>
      </c>
      <c r="R56">
        <f t="shared" si="2"/>
        <v>71</v>
      </c>
    </row>
    <row r="57" spans="1:18" ht="22.5" hidden="1" x14ac:dyDescent="0.3">
      <c r="A57" s="6" t="s">
        <v>432</v>
      </c>
      <c r="B57" s="13">
        <v>78</v>
      </c>
      <c r="C57" s="13" t="s">
        <v>1178</v>
      </c>
      <c r="D57" s="6" t="s">
        <v>433</v>
      </c>
      <c r="E57">
        <v>2</v>
      </c>
      <c r="F57" s="14">
        <v>119</v>
      </c>
      <c r="G57">
        <v>1</v>
      </c>
      <c r="H57" s="13">
        <v>78</v>
      </c>
      <c r="I57" t="str">
        <f t="shared" si="0"/>
        <v>078</v>
      </c>
      <c r="J57" s="13" t="s">
        <v>784</v>
      </c>
      <c r="K57" s="12" t="s">
        <v>783</v>
      </c>
      <c r="L57" t="s">
        <v>654</v>
      </c>
      <c r="M57" t="s">
        <v>785</v>
      </c>
      <c r="N57" t="str">
        <f t="shared" si="1"/>
        <v>('078','Ticuiz','FN_COL_TIQUIZ',2,119,1),</v>
      </c>
      <c r="R57">
        <f t="shared" si="2"/>
        <v>72</v>
      </c>
    </row>
    <row r="58" spans="1:18" ht="22.5" hidden="1" x14ac:dyDescent="0.3">
      <c r="A58" s="6" t="s">
        <v>188</v>
      </c>
      <c r="B58" s="13">
        <v>84</v>
      </c>
      <c r="C58" s="13" t="s">
        <v>1179</v>
      </c>
      <c r="D58" s="6" t="s">
        <v>187</v>
      </c>
      <c r="E58">
        <v>2</v>
      </c>
      <c r="F58" s="14">
        <v>119</v>
      </c>
      <c r="G58">
        <v>1</v>
      </c>
      <c r="H58" s="13">
        <v>84</v>
      </c>
      <c r="I58" t="str">
        <f t="shared" si="0"/>
        <v>084</v>
      </c>
      <c r="J58" s="13" t="s">
        <v>784</v>
      </c>
      <c r="K58" s="12" t="s">
        <v>783</v>
      </c>
      <c r="L58" t="s">
        <v>654</v>
      </c>
      <c r="M58" t="s">
        <v>785</v>
      </c>
      <c r="N58" t="str">
        <f t="shared" si="1"/>
        <v>('084','Caspejo','FN_COL_CASPEJO',2,119,1),</v>
      </c>
      <c r="R58">
        <f t="shared" si="2"/>
        <v>73</v>
      </c>
    </row>
    <row r="59" spans="1:18" ht="22.5" hidden="1" x14ac:dyDescent="0.3">
      <c r="A59" s="6" t="s">
        <v>561</v>
      </c>
      <c r="B59" s="13">
        <v>98</v>
      </c>
      <c r="C59" s="13" t="s">
        <v>1180</v>
      </c>
      <c r="D59" s="6" t="s">
        <v>562</v>
      </c>
      <c r="E59">
        <v>2</v>
      </c>
      <c r="F59" s="14">
        <v>119</v>
      </c>
      <c r="G59">
        <v>1</v>
      </c>
      <c r="H59" s="13">
        <v>98</v>
      </c>
      <c r="I59" t="str">
        <f t="shared" si="0"/>
        <v>098</v>
      </c>
      <c r="J59" s="13" t="s">
        <v>784</v>
      </c>
      <c r="K59" s="12" t="s">
        <v>783</v>
      </c>
      <c r="L59" t="s">
        <v>654</v>
      </c>
      <c r="M59" t="s">
        <v>785</v>
      </c>
      <c r="N59" t="str">
        <f t="shared" si="1"/>
        <v>('098','El Chical','FN_COL_EL_CHICAL',2,119,1),</v>
      </c>
      <c r="R59">
        <f t="shared" si="2"/>
        <v>74</v>
      </c>
    </row>
    <row r="60" spans="1:18" ht="22.5" hidden="1" x14ac:dyDescent="0.3">
      <c r="A60" s="6" t="s">
        <v>189</v>
      </c>
      <c r="B60" s="13">
        <v>100</v>
      </c>
      <c r="C60" s="13" t="s">
        <v>1181</v>
      </c>
      <c r="D60" s="6" t="s">
        <v>190</v>
      </c>
      <c r="E60">
        <v>2</v>
      </c>
      <c r="F60" s="14">
        <v>119</v>
      </c>
      <c r="G60">
        <v>1</v>
      </c>
      <c r="H60" s="13">
        <v>100</v>
      </c>
      <c r="I60">
        <f t="shared" si="0"/>
        <v>100</v>
      </c>
      <c r="J60" s="13" t="s">
        <v>784</v>
      </c>
      <c r="K60" s="12" t="s">
        <v>783</v>
      </c>
      <c r="L60" t="s">
        <v>654</v>
      </c>
      <c r="M60" t="s">
        <v>785</v>
      </c>
      <c r="N60" t="str">
        <f t="shared" si="1"/>
        <v>('100','Castrejon','FN_COL_CASTREJON',2,119,1),</v>
      </c>
      <c r="R60">
        <f t="shared" si="2"/>
        <v>75</v>
      </c>
    </row>
    <row r="61" spans="1:18" ht="22.5" hidden="1" x14ac:dyDescent="0.3">
      <c r="A61" s="6" t="s">
        <v>343</v>
      </c>
      <c r="B61" s="13">
        <v>102</v>
      </c>
      <c r="C61" s="13" t="s">
        <v>1182</v>
      </c>
      <c r="D61" s="6" t="s">
        <v>342</v>
      </c>
      <c r="E61">
        <v>2</v>
      </c>
      <c r="F61" s="14">
        <v>119</v>
      </c>
      <c r="G61">
        <v>1</v>
      </c>
      <c r="H61" s="13">
        <v>102</v>
      </c>
      <c r="I61">
        <f t="shared" si="0"/>
        <v>102</v>
      </c>
      <c r="J61" s="13" t="s">
        <v>784</v>
      </c>
      <c r="K61" s="12" t="s">
        <v>783</v>
      </c>
      <c r="L61" t="s">
        <v>654</v>
      </c>
      <c r="M61" t="s">
        <v>785</v>
      </c>
      <c r="N61" t="str">
        <f t="shared" si="1"/>
        <v>('102','Manuel Leiva','FN_COL_MANUEL_LEYV',2,119,1),</v>
      </c>
      <c r="R61">
        <f t="shared" si="2"/>
        <v>76</v>
      </c>
    </row>
    <row r="62" spans="1:18" ht="22.5" hidden="1" x14ac:dyDescent="0.3">
      <c r="A62" s="6" t="s">
        <v>318</v>
      </c>
      <c r="B62" s="13">
        <v>105</v>
      </c>
      <c r="C62" s="13" t="s">
        <v>1183</v>
      </c>
      <c r="D62" s="6" t="s">
        <v>319</v>
      </c>
      <c r="E62">
        <v>2</v>
      </c>
      <c r="F62" s="14">
        <v>119</v>
      </c>
      <c r="G62">
        <v>1</v>
      </c>
      <c r="H62" s="13">
        <v>105</v>
      </c>
      <c r="I62">
        <f t="shared" si="0"/>
        <v>105</v>
      </c>
      <c r="J62" s="13" t="s">
        <v>784</v>
      </c>
      <c r="K62" s="12" t="s">
        <v>783</v>
      </c>
      <c r="L62" t="s">
        <v>654</v>
      </c>
      <c r="M62" t="s">
        <v>785</v>
      </c>
      <c r="N62" t="str">
        <f t="shared" si="1"/>
        <v>('105','Las 500','FN_COL_LAS_500',2,119,1),</v>
      </c>
      <c r="R62">
        <f t="shared" si="2"/>
        <v>77</v>
      </c>
    </row>
    <row r="63" spans="1:18" ht="22.5" hidden="1" x14ac:dyDescent="0.3">
      <c r="A63" s="6" t="s">
        <v>330</v>
      </c>
      <c r="B63" s="13">
        <v>106</v>
      </c>
      <c r="C63" s="13" t="s">
        <v>1184</v>
      </c>
      <c r="D63" s="6" t="s">
        <v>331</v>
      </c>
      <c r="E63">
        <v>2</v>
      </c>
      <c r="F63" s="14">
        <v>119</v>
      </c>
      <c r="G63">
        <v>1</v>
      </c>
      <c r="H63" s="13">
        <v>106</v>
      </c>
      <c r="I63">
        <f t="shared" si="0"/>
        <v>106</v>
      </c>
      <c r="J63" s="13" t="s">
        <v>784</v>
      </c>
      <c r="K63" s="12" t="s">
        <v>783</v>
      </c>
      <c r="L63" t="s">
        <v>654</v>
      </c>
      <c r="M63" t="s">
        <v>785</v>
      </c>
      <c r="N63" t="str">
        <f t="shared" si="1"/>
        <v>('106','Las Trancas','FN_COL_LAS_TRANCAS',2,119,1),</v>
      </c>
      <c r="R63">
        <f t="shared" si="2"/>
        <v>78</v>
      </c>
    </row>
    <row r="64" spans="1:18" ht="22.5" hidden="1" x14ac:dyDescent="0.3">
      <c r="A64" s="6" t="s">
        <v>168</v>
      </c>
      <c r="B64" s="13">
        <v>152</v>
      </c>
      <c r="C64" s="13" t="s">
        <v>1185</v>
      </c>
      <c r="D64" s="6" t="s">
        <v>169</v>
      </c>
      <c r="E64">
        <v>2</v>
      </c>
      <c r="F64" s="14">
        <v>119</v>
      </c>
      <c r="G64">
        <v>1</v>
      </c>
      <c r="H64" s="13">
        <v>152</v>
      </c>
      <c r="I64">
        <f t="shared" si="0"/>
        <v>152</v>
      </c>
      <c r="J64" s="13" t="s">
        <v>784</v>
      </c>
      <c r="K64" s="12" t="s">
        <v>783</v>
      </c>
      <c r="L64" t="s">
        <v>654</v>
      </c>
      <c r="M64" t="s">
        <v>785</v>
      </c>
      <c r="N64" t="str">
        <f t="shared" si="1"/>
        <v>('152','Baltazar Campuzano','FN_COL_BALTAZAR_CA',2,119,1),</v>
      </c>
      <c r="R64">
        <f t="shared" si="2"/>
        <v>79</v>
      </c>
    </row>
    <row r="65" spans="1:18" ht="22.5" hidden="1" x14ac:dyDescent="0.3">
      <c r="A65" s="6" t="s">
        <v>172</v>
      </c>
      <c r="B65" s="13">
        <v>181</v>
      </c>
      <c r="C65" s="13" t="s">
        <v>1186</v>
      </c>
      <c r="D65" s="6" t="s">
        <v>173</v>
      </c>
      <c r="E65">
        <v>2</v>
      </c>
      <c r="F65" s="14">
        <v>119</v>
      </c>
      <c r="G65">
        <v>1</v>
      </c>
      <c r="H65" s="13">
        <v>181</v>
      </c>
      <c r="I65">
        <f t="shared" si="0"/>
        <v>181</v>
      </c>
      <c r="J65" s="13" t="s">
        <v>784</v>
      </c>
      <c r="K65" s="12" t="s">
        <v>783</v>
      </c>
      <c r="L65" t="s">
        <v>654</v>
      </c>
      <c r="M65" t="s">
        <v>785</v>
      </c>
      <c r="N65" t="str">
        <f t="shared" si="1"/>
        <v>('181','Cabañas','FN_COL_CABANAS',2,119,1),</v>
      </c>
      <c r="R65">
        <f t="shared" si="2"/>
        <v>80</v>
      </c>
    </row>
    <row r="66" spans="1:18" ht="22.5" hidden="1" x14ac:dyDescent="0.3">
      <c r="A66" s="6" t="s">
        <v>242</v>
      </c>
      <c r="B66" s="13">
        <v>185</v>
      </c>
      <c r="C66" s="13" t="s">
        <v>1187</v>
      </c>
      <c r="D66" s="6" t="s">
        <v>241</v>
      </c>
      <c r="E66">
        <v>2</v>
      </c>
      <c r="F66" s="14">
        <v>119</v>
      </c>
      <c r="G66">
        <v>1</v>
      </c>
      <c r="H66" s="13">
        <v>185</v>
      </c>
      <c r="I66">
        <f t="shared" si="0"/>
        <v>185</v>
      </c>
      <c r="J66" s="13" t="s">
        <v>784</v>
      </c>
      <c r="K66" s="12" t="s">
        <v>783</v>
      </c>
      <c r="L66" t="s">
        <v>654</v>
      </c>
      <c r="M66" t="s">
        <v>785</v>
      </c>
      <c r="N66" t="str">
        <f t="shared" si="1"/>
        <v>('185','El Sueño','FN_COL_EL_SUENO',2,119,1),</v>
      </c>
      <c r="R66">
        <f t="shared" si="2"/>
        <v>81</v>
      </c>
    </row>
    <row r="67" spans="1:18" ht="22.5" hidden="1" x14ac:dyDescent="0.3">
      <c r="A67" s="6" t="s">
        <v>287</v>
      </c>
      <c r="B67" s="13">
        <v>187</v>
      </c>
      <c r="C67" s="13" t="s">
        <v>1188</v>
      </c>
      <c r="D67" s="6" t="s">
        <v>286</v>
      </c>
      <c r="E67">
        <v>2</v>
      </c>
      <c r="F67" s="14">
        <v>119</v>
      </c>
      <c r="G67">
        <v>1</v>
      </c>
      <c r="H67" s="13">
        <v>187</v>
      </c>
      <c r="I67">
        <f t="shared" ref="I67:I130" si="3">+IF(LEN(H67)=1,_xlfn.CONCAT("00",H67),IF(LEN(H67)=2,_xlfn.CONCAT("0",H67),H67))</f>
        <v>187</v>
      </c>
      <c r="J67" s="13" t="s">
        <v>784</v>
      </c>
      <c r="K67" s="12" t="s">
        <v>783</v>
      </c>
      <c r="L67" t="s">
        <v>654</v>
      </c>
      <c r="M67" t="s">
        <v>785</v>
      </c>
      <c r="N67" t="str">
        <f t="shared" ref="N67:N130" si="4">+J67&amp;K67&amp;I67&amp;K67&amp;L67&amp;K67&amp;C67&amp;K67&amp;L67&amp;K67&amp;D67&amp;K67&amp;L67&amp;E67&amp;L67&amp;F67&amp;L67&amp;G67&amp;M67&amp;L67</f>
        <v>('187','Fabiola Moreno Ochoa','FN_COL_LA_LIMONERA',2,119,1),</v>
      </c>
      <c r="R67">
        <f t="shared" si="2"/>
        <v>82</v>
      </c>
    </row>
    <row r="68" spans="1:18" ht="22.5" hidden="1" x14ac:dyDescent="0.3">
      <c r="A68" s="6" t="s">
        <v>366</v>
      </c>
      <c r="B68" s="13">
        <v>189</v>
      </c>
      <c r="C68" s="13" t="s">
        <v>1189</v>
      </c>
      <c r="D68" s="6" t="s">
        <v>367</v>
      </c>
      <c r="E68">
        <v>2</v>
      </c>
      <c r="F68" s="14">
        <v>119</v>
      </c>
      <c r="G68">
        <v>1</v>
      </c>
      <c r="H68" s="13">
        <v>189</v>
      </c>
      <c r="I68">
        <f t="shared" si="3"/>
        <v>189</v>
      </c>
      <c r="J68" s="13" t="s">
        <v>784</v>
      </c>
      <c r="K68" s="12" t="s">
        <v>783</v>
      </c>
      <c r="L68" t="s">
        <v>654</v>
      </c>
      <c r="M68" t="s">
        <v>785</v>
      </c>
      <c r="N68" t="str">
        <f t="shared" si="4"/>
        <v>('189','Norma','FN_COL_NORMA',2,119,1),</v>
      </c>
      <c r="R68">
        <f t="shared" ref="R68:R131" si="5">+R67+1</f>
        <v>83</v>
      </c>
    </row>
    <row r="69" spans="1:18" ht="22.5" hidden="1" x14ac:dyDescent="0.3">
      <c r="A69" s="6" t="s">
        <v>567</v>
      </c>
      <c r="B69" s="13">
        <v>206</v>
      </c>
      <c r="C69" s="13" t="s">
        <v>1190</v>
      </c>
      <c r="D69" s="6" t="s">
        <v>171</v>
      </c>
      <c r="E69">
        <v>2</v>
      </c>
      <c r="F69" s="14">
        <v>119</v>
      </c>
      <c r="G69">
        <v>1</v>
      </c>
      <c r="H69" s="13">
        <v>206</v>
      </c>
      <c r="I69">
        <f t="shared" si="3"/>
        <v>206</v>
      </c>
      <c r="J69" s="13" t="s">
        <v>784</v>
      </c>
      <c r="K69" s="12" t="s">
        <v>783</v>
      </c>
      <c r="L69" t="s">
        <v>654</v>
      </c>
      <c r="M69" t="s">
        <v>785</v>
      </c>
      <c r="N69" t="str">
        <f t="shared" si="4"/>
        <v>('206','Botello','FN_COL_BOTELLO',2,119,1),</v>
      </c>
      <c r="R69">
        <f t="shared" si="5"/>
        <v>84</v>
      </c>
    </row>
    <row r="70" spans="1:18" ht="22.5" hidden="1" x14ac:dyDescent="0.3">
      <c r="A70" s="6" t="s">
        <v>233</v>
      </c>
      <c r="B70" s="13">
        <v>214</v>
      </c>
      <c r="C70" s="13" t="s">
        <v>1191</v>
      </c>
      <c r="D70" s="6" t="s">
        <v>234</v>
      </c>
      <c r="E70">
        <v>2</v>
      </c>
      <c r="F70" s="14">
        <v>119</v>
      </c>
      <c r="G70">
        <v>1</v>
      </c>
      <c r="H70" s="13">
        <v>214</v>
      </c>
      <c r="I70">
        <f t="shared" si="3"/>
        <v>214</v>
      </c>
      <c r="J70" s="13" t="s">
        <v>784</v>
      </c>
      <c r="K70" s="12" t="s">
        <v>783</v>
      </c>
      <c r="L70" t="s">
        <v>654</v>
      </c>
      <c r="M70" t="s">
        <v>785</v>
      </c>
      <c r="N70" t="str">
        <f t="shared" si="4"/>
        <v>('214','El Minuto','FN_COL_EL_MINUTO',2,119,1),</v>
      </c>
      <c r="R70">
        <f t="shared" si="5"/>
        <v>85</v>
      </c>
    </row>
    <row r="71" spans="1:18" ht="22.5" hidden="1" x14ac:dyDescent="0.3">
      <c r="A71" s="6" t="s">
        <v>484</v>
      </c>
      <c r="B71" s="13">
        <v>220</v>
      </c>
      <c r="C71" s="13" t="s">
        <v>1192</v>
      </c>
      <c r="D71" s="6" t="s">
        <v>485</v>
      </c>
      <c r="E71">
        <v>2</v>
      </c>
      <c r="F71" s="14">
        <v>119</v>
      </c>
      <c r="G71">
        <v>1</v>
      </c>
      <c r="H71" s="13">
        <v>220</v>
      </c>
      <c r="I71">
        <f t="shared" si="3"/>
        <v>220</v>
      </c>
      <c r="J71" s="13" t="s">
        <v>784</v>
      </c>
      <c r="K71" s="12" t="s">
        <v>783</v>
      </c>
      <c r="L71" t="s">
        <v>654</v>
      </c>
      <c r="M71" t="s">
        <v>785</v>
      </c>
      <c r="N71" t="str">
        <f t="shared" si="4"/>
        <v>('220','Alfonso salgado','FN_COL_ALFONSO_SAL',2,119,1),</v>
      </c>
      <c r="R71">
        <f t="shared" si="5"/>
        <v>86</v>
      </c>
    </row>
    <row r="72" spans="1:18" ht="22.5" hidden="1" x14ac:dyDescent="0.3">
      <c r="A72" s="6" t="s">
        <v>251</v>
      </c>
      <c r="B72" s="13">
        <v>232</v>
      </c>
      <c r="C72" s="13" t="s">
        <v>1193</v>
      </c>
      <c r="D72" s="6" t="s">
        <v>252</v>
      </c>
      <c r="E72">
        <v>2</v>
      </c>
      <c r="F72" s="14">
        <v>119</v>
      </c>
      <c r="G72">
        <v>1</v>
      </c>
      <c r="H72" s="13">
        <v>232</v>
      </c>
      <c r="I72">
        <f t="shared" si="3"/>
        <v>232</v>
      </c>
      <c r="J72" s="13" t="s">
        <v>784</v>
      </c>
      <c r="K72" s="12" t="s">
        <v>783</v>
      </c>
      <c r="L72" t="s">
        <v>654</v>
      </c>
      <c r="M72" t="s">
        <v>785</v>
      </c>
      <c r="N72" t="str">
        <f t="shared" si="4"/>
        <v>('232','Guatepots','FN_COL_GUATEPOTS',2,119,1),</v>
      </c>
      <c r="R72">
        <f t="shared" si="5"/>
        <v>87</v>
      </c>
    </row>
    <row r="73" spans="1:18" ht="22.5" hidden="1" x14ac:dyDescent="0.3">
      <c r="A73" s="6" t="s">
        <v>391</v>
      </c>
      <c r="B73" s="13">
        <v>236</v>
      </c>
      <c r="C73" s="13" t="s">
        <v>1194</v>
      </c>
      <c r="D73" s="6" t="s">
        <v>390</v>
      </c>
      <c r="E73">
        <v>2</v>
      </c>
      <c r="F73" s="14">
        <v>119</v>
      </c>
      <c r="G73">
        <v>1</v>
      </c>
      <c r="H73" s="13">
        <v>236</v>
      </c>
      <c r="I73">
        <f t="shared" si="3"/>
        <v>236</v>
      </c>
      <c r="J73" s="13" t="s">
        <v>784</v>
      </c>
      <c r="K73" s="12" t="s">
        <v>783</v>
      </c>
      <c r="L73" t="s">
        <v>654</v>
      </c>
      <c r="M73" t="s">
        <v>785</v>
      </c>
      <c r="N73" t="str">
        <f t="shared" si="4"/>
        <v>('236','Don Goyo','FN_COL_PENA_GOYO',2,119,1),</v>
      </c>
      <c r="R73">
        <f t="shared" si="5"/>
        <v>88</v>
      </c>
    </row>
    <row r="74" spans="1:18" ht="22.5" hidden="1" x14ac:dyDescent="0.3">
      <c r="A74" s="6" t="s">
        <v>553</v>
      </c>
      <c r="B74" s="13">
        <v>239</v>
      </c>
      <c r="C74" s="13" t="s">
        <v>1195</v>
      </c>
      <c r="D74" s="6" t="s">
        <v>554</v>
      </c>
      <c r="E74">
        <v>2</v>
      </c>
      <c r="F74" s="14">
        <v>119</v>
      </c>
      <c r="G74">
        <v>1</v>
      </c>
      <c r="H74" s="13">
        <v>239</v>
      </c>
      <c r="I74">
        <f t="shared" si="3"/>
        <v>239</v>
      </c>
      <c r="J74" s="13" t="s">
        <v>784</v>
      </c>
      <c r="K74" s="12" t="s">
        <v>783</v>
      </c>
      <c r="L74" t="s">
        <v>654</v>
      </c>
      <c r="M74" t="s">
        <v>785</v>
      </c>
      <c r="N74" t="str">
        <f t="shared" si="4"/>
        <v>('239','La Peña','FN_COL_PENA',2,119,1),</v>
      </c>
      <c r="R74">
        <f t="shared" si="5"/>
        <v>89</v>
      </c>
    </row>
    <row r="75" spans="1:18" ht="22.5" hidden="1" x14ac:dyDescent="0.3">
      <c r="A75" s="6" t="s">
        <v>150</v>
      </c>
      <c r="B75" s="13">
        <v>248</v>
      </c>
      <c r="C75" s="13" t="s">
        <v>1196</v>
      </c>
      <c r="D75" s="6" t="s">
        <v>151</v>
      </c>
      <c r="E75">
        <v>2</v>
      </c>
      <c r="F75" s="14">
        <v>119</v>
      </c>
      <c r="G75">
        <v>1</v>
      </c>
      <c r="H75" s="13">
        <v>248</v>
      </c>
      <c r="I75">
        <f t="shared" si="3"/>
        <v>248</v>
      </c>
      <c r="J75" s="13" t="s">
        <v>784</v>
      </c>
      <c r="K75" s="12" t="s">
        <v>783</v>
      </c>
      <c r="L75" t="s">
        <v>654</v>
      </c>
      <c r="M75" t="s">
        <v>785</v>
      </c>
      <c r="N75" t="str">
        <f t="shared" si="4"/>
        <v>('248','La Escolar JR','FN_CO_LAESCOLAR_JR',2,119,1),</v>
      </c>
      <c r="R75">
        <f t="shared" si="5"/>
        <v>90</v>
      </c>
    </row>
    <row r="76" spans="1:18" ht="22.5" hidden="1" x14ac:dyDescent="0.3">
      <c r="A76" s="6" t="s">
        <v>196</v>
      </c>
      <c r="B76" s="13">
        <v>254</v>
      </c>
      <c r="C76" s="13" t="s">
        <v>1197</v>
      </c>
      <c r="D76" s="6" t="s">
        <v>197</v>
      </c>
      <c r="E76">
        <v>2</v>
      </c>
      <c r="F76" s="14">
        <v>119</v>
      </c>
      <c r="G76">
        <v>1</v>
      </c>
      <c r="H76" s="13">
        <v>254</v>
      </c>
      <c r="I76">
        <f t="shared" si="3"/>
        <v>254</v>
      </c>
      <c r="J76" s="13" t="s">
        <v>784</v>
      </c>
      <c r="K76" s="12" t="s">
        <v>783</v>
      </c>
      <c r="L76" t="s">
        <v>654</v>
      </c>
      <c r="M76" t="s">
        <v>785</v>
      </c>
      <c r="N76" t="str">
        <f t="shared" si="4"/>
        <v>('254','Chiclon Hector Tapia','FN_COL_CHICLONHT',2,119,1),</v>
      </c>
      <c r="R76">
        <f t="shared" si="5"/>
        <v>91</v>
      </c>
    </row>
    <row r="77" spans="1:18" ht="22.5" hidden="1" x14ac:dyDescent="0.3">
      <c r="A77" s="6" t="s">
        <v>364</v>
      </c>
      <c r="B77" s="13">
        <v>258</v>
      </c>
      <c r="C77" s="13" t="s">
        <v>1198</v>
      </c>
      <c r="D77" s="6" t="s">
        <v>362</v>
      </c>
      <c r="E77">
        <v>2</v>
      </c>
      <c r="F77" s="14">
        <v>119</v>
      </c>
      <c r="G77">
        <v>1</v>
      </c>
      <c r="H77" s="13">
        <v>258</v>
      </c>
      <c r="I77">
        <f t="shared" si="3"/>
        <v>258</v>
      </c>
      <c r="J77" s="13" t="s">
        <v>784</v>
      </c>
      <c r="K77" s="12" t="s">
        <v>783</v>
      </c>
      <c r="L77" t="s">
        <v>654</v>
      </c>
      <c r="M77" t="s">
        <v>785</v>
      </c>
      <c r="N77" t="str">
        <f t="shared" si="4"/>
        <v>('258','Moctezuma JG','FN_COL_MOCTEZUMA',2,119,1),</v>
      </c>
      <c r="R77">
        <f t="shared" si="5"/>
        <v>92</v>
      </c>
    </row>
    <row r="78" spans="1:18" ht="22.5" hidden="1" x14ac:dyDescent="0.3">
      <c r="A78" s="6" t="s">
        <v>365</v>
      </c>
      <c r="B78" s="13">
        <v>258</v>
      </c>
      <c r="C78" s="13" t="s">
        <v>1199</v>
      </c>
      <c r="D78" s="6" t="s">
        <v>362</v>
      </c>
      <c r="E78">
        <v>2</v>
      </c>
      <c r="F78" s="14">
        <v>119</v>
      </c>
      <c r="G78">
        <v>1</v>
      </c>
      <c r="H78" s="13">
        <v>258</v>
      </c>
      <c r="I78">
        <f t="shared" si="3"/>
        <v>258</v>
      </c>
      <c r="J78" s="13" t="s">
        <v>784</v>
      </c>
      <c r="K78" s="12" t="s">
        <v>783</v>
      </c>
      <c r="L78" t="s">
        <v>654</v>
      </c>
      <c r="M78" t="s">
        <v>785</v>
      </c>
      <c r="N78" t="str">
        <f t="shared" si="4"/>
        <v>('258','Montezuma','FN_COL_MOCTEZUMA',2,119,1),</v>
      </c>
      <c r="R78">
        <f t="shared" si="5"/>
        <v>93</v>
      </c>
    </row>
    <row r="79" spans="1:18" ht="22.5" hidden="1" x14ac:dyDescent="0.3">
      <c r="A79" s="6" t="s">
        <v>398</v>
      </c>
      <c r="B79" s="13">
        <v>276</v>
      </c>
      <c r="C79" s="13" t="s">
        <v>1200</v>
      </c>
      <c r="D79" s="6" t="s">
        <v>399</v>
      </c>
      <c r="E79">
        <v>2</v>
      </c>
      <c r="F79" s="14">
        <v>119</v>
      </c>
      <c r="G79">
        <v>1</v>
      </c>
      <c r="H79" s="13">
        <v>276</v>
      </c>
      <c r="I79">
        <f t="shared" si="3"/>
        <v>276</v>
      </c>
      <c r="J79" s="13" t="s">
        <v>784</v>
      </c>
      <c r="K79" s="12" t="s">
        <v>783</v>
      </c>
      <c r="L79" t="s">
        <v>654</v>
      </c>
      <c r="M79" t="s">
        <v>785</v>
      </c>
      <c r="N79" t="str">
        <f t="shared" si="4"/>
        <v>('276','Raul Ortega','FN_COL_RAULORT',2,119,1),</v>
      </c>
      <c r="R79">
        <f t="shared" si="5"/>
        <v>94</v>
      </c>
    </row>
    <row r="80" spans="1:18" ht="22.5" hidden="1" x14ac:dyDescent="0.3">
      <c r="A80" s="6" t="s">
        <v>538</v>
      </c>
      <c r="B80" s="13">
        <v>287</v>
      </c>
      <c r="C80" s="13" t="s">
        <v>1201</v>
      </c>
      <c r="D80" s="6" t="s">
        <v>501</v>
      </c>
      <c r="E80">
        <v>2</v>
      </c>
      <c r="F80" s="14">
        <v>119</v>
      </c>
      <c r="G80">
        <v>1</v>
      </c>
      <c r="H80" s="13">
        <v>287</v>
      </c>
      <c r="I80">
        <f t="shared" si="3"/>
        <v>287</v>
      </c>
      <c r="J80" s="13" t="s">
        <v>784</v>
      </c>
      <c r="K80" s="12" t="s">
        <v>783</v>
      </c>
      <c r="L80" t="s">
        <v>654</v>
      </c>
      <c r="M80" t="s">
        <v>785</v>
      </c>
      <c r="N80" t="str">
        <f t="shared" si="4"/>
        <v>('287','El Pilar','FN_COL_PILAR',2,119,1),</v>
      </c>
      <c r="R80">
        <f t="shared" si="5"/>
        <v>95</v>
      </c>
    </row>
    <row r="81" spans="1:18" ht="22.5" hidden="1" x14ac:dyDescent="0.3">
      <c r="A81" s="6" t="s">
        <v>267</v>
      </c>
      <c r="B81" s="13">
        <v>37</v>
      </c>
      <c r="C81" s="13" t="s">
        <v>757</v>
      </c>
      <c r="D81" s="6" t="s">
        <v>268</v>
      </c>
      <c r="E81">
        <v>2</v>
      </c>
      <c r="F81" s="14">
        <v>120</v>
      </c>
      <c r="G81">
        <v>1</v>
      </c>
      <c r="H81" s="13">
        <v>37</v>
      </c>
      <c r="I81" t="str">
        <f t="shared" si="3"/>
        <v>037</v>
      </c>
      <c r="J81" s="13" t="s">
        <v>784</v>
      </c>
      <c r="K81" s="12" t="s">
        <v>783</v>
      </c>
      <c r="L81" t="s">
        <v>654</v>
      </c>
      <c r="M81" t="s">
        <v>785</v>
      </c>
      <c r="N81" t="str">
        <f t="shared" si="4"/>
        <v>('037','Jorge Ochoa','FN_COL_JORGE_OCHOA',2,120,1),</v>
      </c>
      <c r="R81">
        <f t="shared" si="5"/>
        <v>96</v>
      </c>
    </row>
    <row r="82" spans="1:18" ht="22.5" hidden="1" x14ac:dyDescent="0.3">
      <c r="A82" s="6" t="s">
        <v>200</v>
      </c>
      <c r="B82" s="13">
        <v>39</v>
      </c>
      <c r="C82" s="13" t="s">
        <v>1202</v>
      </c>
      <c r="D82" s="6" t="s">
        <v>201</v>
      </c>
      <c r="E82">
        <v>2</v>
      </c>
      <c r="F82" s="14">
        <v>120</v>
      </c>
      <c r="G82">
        <v>1</v>
      </c>
      <c r="H82" s="13">
        <v>39</v>
      </c>
      <c r="I82" t="str">
        <f t="shared" si="3"/>
        <v>039</v>
      </c>
      <c r="J82" s="13" t="s">
        <v>784</v>
      </c>
      <c r="K82" s="12" t="s">
        <v>783</v>
      </c>
      <c r="L82" t="s">
        <v>654</v>
      </c>
      <c r="M82" t="s">
        <v>785</v>
      </c>
      <c r="N82" t="str">
        <f t="shared" si="4"/>
        <v>('039','Cofradia Ochoa','FN_COL_COFRADIA',2,120,1),</v>
      </c>
      <c r="R82">
        <f t="shared" si="5"/>
        <v>97</v>
      </c>
    </row>
    <row r="83" spans="1:18" ht="22.5" hidden="1" x14ac:dyDescent="0.3">
      <c r="A83" s="6" t="s">
        <v>346</v>
      </c>
      <c r="B83" s="13">
        <v>41</v>
      </c>
      <c r="C83" s="13" t="s">
        <v>1203</v>
      </c>
      <c r="D83" s="6" t="s">
        <v>347</v>
      </c>
      <c r="E83">
        <v>2</v>
      </c>
      <c r="F83" s="14">
        <v>120</v>
      </c>
      <c r="G83">
        <v>1</v>
      </c>
      <c r="H83" s="13">
        <v>41</v>
      </c>
      <c r="I83" t="str">
        <f t="shared" si="3"/>
        <v>041</v>
      </c>
      <c r="J83" s="13" t="s">
        <v>784</v>
      </c>
      <c r="K83" s="12" t="s">
        <v>783</v>
      </c>
      <c r="L83" t="s">
        <v>654</v>
      </c>
      <c r="M83" t="s">
        <v>785</v>
      </c>
      <c r="N83" t="str">
        <f t="shared" si="4"/>
        <v>('041','Mariana 1','FN_COL_MARIANA_1',2,120,1),</v>
      </c>
      <c r="R83">
        <f t="shared" si="5"/>
        <v>98</v>
      </c>
    </row>
    <row r="84" spans="1:18" ht="22.5" hidden="1" x14ac:dyDescent="0.3">
      <c r="A84" s="6" t="s">
        <v>352</v>
      </c>
      <c r="B84" s="13">
        <v>42</v>
      </c>
      <c r="C84" s="13" t="s">
        <v>1204</v>
      </c>
      <c r="D84" s="6" t="s">
        <v>353</v>
      </c>
      <c r="E84">
        <v>2</v>
      </c>
      <c r="F84" s="14">
        <v>120</v>
      </c>
      <c r="G84">
        <v>1</v>
      </c>
      <c r="H84" s="13">
        <v>42</v>
      </c>
      <c r="I84" t="str">
        <f t="shared" si="3"/>
        <v>042</v>
      </c>
      <c r="J84" s="13" t="s">
        <v>784</v>
      </c>
      <c r="K84" s="12" t="s">
        <v>783</v>
      </c>
      <c r="L84" t="s">
        <v>654</v>
      </c>
      <c r="M84" t="s">
        <v>785</v>
      </c>
      <c r="N84" t="str">
        <f t="shared" si="4"/>
        <v>('042','Mariana 4','FN_COL_MARIANA_4',2,120,1),</v>
      </c>
      <c r="R84">
        <f t="shared" si="5"/>
        <v>99</v>
      </c>
    </row>
    <row r="85" spans="1:18" ht="22.5" hidden="1" x14ac:dyDescent="0.3">
      <c r="A85" s="6" t="s">
        <v>355</v>
      </c>
      <c r="B85" s="13">
        <v>43</v>
      </c>
      <c r="C85" s="13" t="s">
        <v>1205</v>
      </c>
      <c r="D85" s="6" t="s">
        <v>356</v>
      </c>
      <c r="E85">
        <v>2</v>
      </c>
      <c r="F85" s="14">
        <v>120</v>
      </c>
      <c r="G85">
        <v>1</v>
      </c>
      <c r="H85" s="13">
        <v>43</v>
      </c>
      <c r="I85" t="str">
        <f t="shared" si="3"/>
        <v>043</v>
      </c>
      <c r="J85" s="13" t="s">
        <v>784</v>
      </c>
      <c r="K85" s="12" t="s">
        <v>783</v>
      </c>
      <c r="L85" t="s">
        <v>654</v>
      </c>
      <c r="M85" t="s">
        <v>785</v>
      </c>
      <c r="N85" t="str">
        <f t="shared" si="4"/>
        <v>('043','Mariana 6','FN_COL_MARIANA_6',2,120,1),</v>
      </c>
      <c r="R85">
        <f t="shared" si="5"/>
        <v>100</v>
      </c>
    </row>
    <row r="86" spans="1:18" ht="22.5" hidden="1" x14ac:dyDescent="0.3">
      <c r="A86" s="6" t="s">
        <v>212</v>
      </c>
      <c r="B86" s="13">
        <v>44</v>
      </c>
      <c r="C86" s="13" t="s">
        <v>1206</v>
      </c>
      <c r="D86" s="6" t="s">
        <v>213</v>
      </c>
      <c r="E86">
        <v>2</v>
      </c>
      <c r="F86" s="14">
        <v>120</v>
      </c>
      <c r="G86">
        <v>1</v>
      </c>
      <c r="H86" s="13">
        <v>44</v>
      </c>
      <c r="I86" t="str">
        <f t="shared" si="3"/>
        <v>044</v>
      </c>
      <c r="J86" s="13" t="s">
        <v>784</v>
      </c>
      <c r="K86" s="12" t="s">
        <v>783</v>
      </c>
      <c r="L86" t="s">
        <v>654</v>
      </c>
      <c r="M86" t="s">
        <v>785</v>
      </c>
      <c r="N86" t="str">
        <f t="shared" si="4"/>
        <v>('044','Delfina','FN_COL_DELFINA',2,120,1),</v>
      </c>
      <c r="R86">
        <f t="shared" si="5"/>
        <v>101</v>
      </c>
    </row>
    <row r="87" spans="1:18" ht="22.5" hidden="1" x14ac:dyDescent="0.3">
      <c r="A87" s="6" t="s">
        <v>442</v>
      </c>
      <c r="B87" s="13">
        <v>45</v>
      </c>
      <c r="C87" s="13" t="s">
        <v>1207</v>
      </c>
      <c r="D87" s="6" t="s">
        <v>443</v>
      </c>
      <c r="E87">
        <v>2</v>
      </c>
      <c r="F87" s="14">
        <v>120</v>
      </c>
      <c r="G87">
        <v>1</v>
      </c>
      <c r="H87" s="13">
        <v>45</v>
      </c>
      <c r="I87" t="str">
        <f t="shared" si="3"/>
        <v>045</v>
      </c>
      <c r="J87" s="13" t="s">
        <v>784</v>
      </c>
      <c r="K87" s="12" t="s">
        <v>783</v>
      </c>
      <c r="L87" t="s">
        <v>654</v>
      </c>
      <c r="M87" t="s">
        <v>785</v>
      </c>
      <c r="N87" t="str">
        <f t="shared" si="4"/>
        <v>('045','Valle Nuevo 1','FN_COL_VALLE_NUE1',2,120,1),</v>
      </c>
      <c r="R87">
        <f t="shared" si="5"/>
        <v>102</v>
      </c>
    </row>
    <row r="88" spans="1:18" ht="22.5" hidden="1" x14ac:dyDescent="0.3">
      <c r="A88" s="6" t="s">
        <v>449</v>
      </c>
      <c r="B88" s="13">
        <v>46</v>
      </c>
      <c r="C88" s="13" t="s">
        <v>1208</v>
      </c>
      <c r="D88" s="6" t="s">
        <v>450</v>
      </c>
      <c r="E88">
        <v>2</v>
      </c>
      <c r="F88" s="14">
        <v>120</v>
      </c>
      <c r="G88">
        <v>1</v>
      </c>
      <c r="H88" s="13">
        <v>46</v>
      </c>
      <c r="I88" t="str">
        <f t="shared" si="3"/>
        <v>046</v>
      </c>
      <c r="J88" s="13" t="s">
        <v>784</v>
      </c>
      <c r="K88" s="12" t="s">
        <v>783</v>
      </c>
      <c r="L88" t="s">
        <v>654</v>
      </c>
      <c r="M88" t="s">
        <v>785</v>
      </c>
      <c r="N88" t="str">
        <f t="shared" si="4"/>
        <v>('046','Valle Nuevo 2','FN_COL_VALLE_NUE2',2,120,1),</v>
      </c>
      <c r="R88">
        <f t="shared" si="5"/>
        <v>103</v>
      </c>
    </row>
    <row r="89" spans="1:18" ht="22.5" hidden="1" x14ac:dyDescent="0.3">
      <c r="A89" s="6" t="s">
        <v>275</v>
      </c>
      <c r="B89" s="13">
        <v>89</v>
      </c>
      <c r="C89" s="13" t="s">
        <v>1209</v>
      </c>
      <c r="D89" s="6" t="s">
        <v>276</v>
      </c>
      <c r="E89">
        <v>2</v>
      </c>
      <c r="F89" s="14">
        <v>120</v>
      </c>
      <c r="G89">
        <v>1</v>
      </c>
      <c r="H89" s="13">
        <v>89</v>
      </c>
      <c r="I89" t="str">
        <f t="shared" si="3"/>
        <v>089</v>
      </c>
      <c r="J89" s="13" t="s">
        <v>784</v>
      </c>
      <c r="K89" s="12" t="s">
        <v>783</v>
      </c>
      <c r="L89" t="s">
        <v>654</v>
      </c>
      <c r="M89" t="s">
        <v>785</v>
      </c>
      <c r="N89" t="str">
        <f t="shared" si="4"/>
        <v>('089','Callejones la curva','FN_COL_LA_CURVA',2,120,1),</v>
      </c>
      <c r="R89">
        <f t="shared" si="5"/>
        <v>104</v>
      </c>
    </row>
    <row r="90" spans="1:18" ht="22.5" hidden="1" x14ac:dyDescent="0.3">
      <c r="A90" s="6" t="s">
        <v>349</v>
      </c>
      <c r="B90" s="13">
        <v>170</v>
      </c>
      <c r="C90" s="13" t="s">
        <v>1210</v>
      </c>
      <c r="D90" s="6" t="s">
        <v>350</v>
      </c>
      <c r="E90">
        <v>2</v>
      </c>
      <c r="F90" s="14">
        <v>120</v>
      </c>
      <c r="G90">
        <v>1</v>
      </c>
      <c r="H90" s="13">
        <v>170</v>
      </c>
      <c r="I90">
        <f t="shared" si="3"/>
        <v>170</v>
      </c>
      <c r="J90" s="13" t="s">
        <v>784</v>
      </c>
      <c r="K90" s="12" t="s">
        <v>783</v>
      </c>
      <c r="L90" t="s">
        <v>654</v>
      </c>
      <c r="M90" t="s">
        <v>785</v>
      </c>
      <c r="N90" t="str">
        <f t="shared" si="4"/>
        <v>('170','Mariana 2','FN_COL_MARIANA_2',2,120,1),</v>
      </c>
      <c r="R90">
        <f t="shared" si="5"/>
        <v>105</v>
      </c>
    </row>
    <row r="91" spans="1:18" ht="22.5" hidden="1" x14ac:dyDescent="0.3">
      <c r="A91" s="6" t="s">
        <v>273</v>
      </c>
      <c r="B91" s="13">
        <v>183</v>
      </c>
      <c r="C91" s="13" t="s">
        <v>1211</v>
      </c>
      <c r="D91" s="6" t="s">
        <v>274</v>
      </c>
      <c r="E91">
        <v>2</v>
      </c>
      <c r="F91" s="14">
        <v>120</v>
      </c>
      <c r="G91">
        <v>1</v>
      </c>
      <c r="H91" s="13">
        <v>183</v>
      </c>
      <c r="I91">
        <f t="shared" si="3"/>
        <v>183</v>
      </c>
      <c r="J91" s="13" t="s">
        <v>784</v>
      </c>
      <c r="K91" s="12" t="s">
        <v>783</v>
      </c>
      <c r="L91" t="s">
        <v>654</v>
      </c>
      <c r="M91" t="s">
        <v>785</v>
      </c>
      <c r="N91" t="str">
        <f t="shared" si="4"/>
        <v>('183','Ceiba','FN_COL_LA_CEIBA',2,120,1),</v>
      </c>
      <c r="R91">
        <f t="shared" si="5"/>
        <v>106</v>
      </c>
    </row>
    <row r="92" spans="1:18" ht="22.5" hidden="1" x14ac:dyDescent="0.3">
      <c r="A92" s="6" t="s">
        <v>428</v>
      </c>
      <c r="B92" s="13">
        <v>197</v>
      </c>
      <c r="C92" s="13" t="s">
        <v>1212</v>
      </c>
      <c r="D92" s="6" t="s">
        <v>429</v>
      </c>
      <c r="E92">
        <v>2</v>
      </c>
      <c r="F92" s="14">
        <v>120</v>
      </c>
      <c r="G92">
        <v>1</v>
      </c>
      <c r="H92" s="13">
        <v>197</v>
      </c>
      <c r="I92">
        <f t="shared" si="3"/>
        <v>197</v>
      </c>
      <c r="J92" s="13" t="s">
        <v>784</v>
      </c>
      <c r="K92" s="12" t="s">
        <v>783</v>
      </c>
      <c r="L92" t="s">
        <v>654</v>
      </c>
      <c r="M92" t="s">
        <v>785</v>
      </c>
      <c r="N92" t="str">
        <f t="shared" si="4"/>
        <v>('197','Santa Rosa','FN_COL_STAROSA',2,120,1),</v>
      </c>
      <c r="R92">
        <f t="shared" si="5"/>
        <v>107</v>
      </c>
    </row>
    <row r="93" spans="1:18" ht="22.5" hidden="1" x14ac:dyDescent="0.3">
      <c r="A93" s="6" t="s">
        <v>177</v>
      </c>
      <c r="B93" s="13">
        <v>250</v>
      </c>
      <c r="C93" s="13" t="s">
        <v>1213</v>
      </c>
      <c r="D93" s="6" t="s">
        <v>178</v>
      </c>
      <c r="E93">
        <v>2</v>
      </c>
      <c r="F93" s="14">
        <v>120</v>
      </c>
      <c r="G93">
        <v>1</v>
      </c>
      <c r="H93" s="13">
        <v>250</v>
      </c>
      <c r="I93">
        <f t="shared" si="3"/>
        <v>250</v>
      </c>
      <c r="J93" s="13" t="s">
        <v>784</v>
      </c>
      <c r="K93" s="12" t="s">
        <v>783</v>
      </c>
      <c r="L93" t="s">
        <v>654</v>
      </c>
      <c r="M93" t="s">
        <v>785</v>
      </c>
      <c r="N93" t="str">
        <f t="shared" si="4"/>
        <v>('250','Cahuite','FN_COL_CAHUITE_OCH',2,120,1),</v>
      </c>
      <c r="R93">
        <f t="shared" si="5"/>
        <v>108</v>
      </c>
    </row>
    <row r="94" spans="1:18" ht="22.5" hidden="1" x14ac:dyDescent="0.3">
      <c r="A94" s="6" t="s">
        <v>205</v>
      </c>
      <c r="B94" s="13">
        <v>272</v>
      </c>
      <c r="C94" s="13" t="s">
        <v>1214</v>
      </c>
      <c r="D94" s="6" t="s">
        <v>206</v>
      </c>
      <c r="E94">
        <v>2</v>
      </c>
      <c r="F94" s="14">
        <v>120</v>
      </c>
      <c r="G94">
        <v>1</v>
      </c>
      <c r="H94" s="13">
        <v>272</v>
      </c>
      <c r="I94">
        <f t="shared" si="3"/>
        <v>272</v>
      </c>
      <c r="J94" s="13" t="s">
        <v>784</v>
      </c>
      <c r="K94" s="12" t="s">
        <v>783</v>
      </c>
      <c r="L94" t="s">
        <v>654</v>
      </c>
      <c r="M94" t="s">
        <v>785</v>
      </c>
      <c r="N94" t="str">
        <f t="shared" si="4"/>
        <v>('272','La Coneja','FN_COL_CONEJA',2,120,1),</v>
      </c>
      <c r="R94">
        <f t="shared" si="5"/>
        <v>109</v>
      </c>
    </row>
    <row r="95" spans="1:18" ht="22.5" hidden="1" x14ac:dyDescent="0.3">
      <c r="A95" s="6" t="s">
        <v>446</v>
      </c>
      <c r="B95" s="13">
        <v>45</v>
      </c>
      <c r="C95" s="13" t="s">
        <v>1207</v>
      </c>
      <c r="D95" s="6" t="s">
        <v>443</v>
      </c>
      <c r="E95">
        <v>2</v>
      </c>
      <c r="F95" s="14">
        <v>120</v>
      </c>
      <c r="G95">
        <v>1</v>
      </c>
      <c r="H95" s="13">
        <v>45</v>
      </c>
      <c r="I95" t="str">
        <f t="shared" si="3"/>
        <v>045</v>
      </c>
      <c r="J95" s="13" t="s">
        <v>784</v>
      </c>
      <c r="K95" s="12" t="s">
        <v>783</v>
      </c>
      <c r="L95" t="s">
        <v>654</v>
      </c>
      <c r="M95" t="s">
        <v>785</v>
      </c>
      <c r="N95" t="str">
        <f t="shared" si="4"/>
        <v>('045','Valle Nuevo 1','FN_COL_VALLE_NUE1',2,120,1),</v>
      </c>
      <c r="R95">
        <f t="shared" si="5"/>
        <v>110</v>
      </c>
    </row>
    <row r="96" spans="1:18" ht="22.5" hidden="1" x14ac:dyDescent="0.3">
      <c r="A96" s="6" t="s">
        <v>486</v>
      </c>
      <c r="B96" s="13">
        <v>1</v>
      </c>
      <c r="C96" s="13" t="s">
        <v>1215</v>
      </c>
      <c r="D96" s="6" t="s">
        <v>487</v>
      </c>
      <c r="E96">
        <v>2</v>
      </c>
      <c r="F96" s="14">
        <v>121</v>
      </c>
      <c r="G96">
        <v>1</v>
      </c>
      <c r="H96" s="13">
        <v>1</v>
      </c>
      <c r="I96" t="str">
        <f t="shared" si="3"/>
        <v>001</v>
      </c>
      <c r="J96" s="13" t="s">
        <v>784</v>
      </c>
      <c r="K96" s="12" t="s">
        <v>783</v>
      </c>
      <c r="L96" t="s">
        <v>654</v>
      </c>
      <c r="M96" t="s">
        <v>785</v>
      </c>
      <c r="N96" t="str">
        <f t="shared" si="4"/>
        <v>('001','Los Cedros','FN_COL_LOS_CEDROS',2,121,1),</v>
      </c>
      <c r="R96">
        <f t="shared" si="5"/>
        <v>111</v>
      </c>
    </row>
    <row r="97" spans="1:18" ht="22.5" hidden="1" x14ac:dyDescent="0.3">
      <c r="A97" s="6" t="s">
        <v>455</v>
      </c>
      <c r="B97" s="13">
        <v>25</v>
      </c>
      <c r="C97" s="13" t="s">
        <v>1216</v>
      </c>
      <c r="D97" s="6" t="s">
        <v>456</v>
      </c>
      <c r="E97">
        <v>2</v>
      </c>
      <c r="F97" s="14">
        <v>121</v>
      </c>
      <c r="G97">
        <v>1</v>
      </c>
      <c r="H97" s="13">
        <v>25</v>
      </c>
      <c r="I97" t="str">
        <f t="shared" si="3"/>
        <v>025</v>
      </c>
      <c r="J97" s="13" t="s">
        <v>784</v>
      </c>
      <c r="K97" s="12" t="s">
        <v>783</v>
      </c>
      <c r="L97" t="s">
        <v>654</v>
      </c>
      <c r="M97" t="s">
        <v>785</v>
      </c>
      <c r="N97" t="str">
        <f t="shared" si="4"/>
        <v>('025','Zanja Prieta','FN_COL_ZANJA_PRIET',2,121,1),</v>
      </c>
      <c r="R97">
        <f t="shared" si="5"/>
        <v>112</v>
      </c>
    </row>
    <row r="98" spans="1:18" ht="22.5" hidden="1" x14ac:dyDescent="0.3">
      <c r="A98" s="6" t="s">
        <v>310</v>
      </c>
      <c r="B98" s="13">
        <v>33</v>
      </c>
      <c r="C98" s="13" t="s">
        <v>1173</v>
      </c>
      <c r="D98" s="6" t="s">
        <v>309</v>
      </c>
      <c r="E98">
        <v>2</v>
      </c>
      <c r="F98" s="14">
        <v>121</v>
      </c>
      <c r="G98">
        <v>1</v>
      </c>
      <c r="H98" s="13">
        <v>33</v>
      </c>
      <c r="I98" t="str">
        <f t="shared" si="3"/>
        <v>033</v>
      </c>
      <c r="J98" s="13" t="s">
        <v>784</v>
      </c>
      <c r="K98" s="12" t="s">
        <v>783</v>
      </c>
      <c r="L98" t="s">
        <v>654</v>
      </c>
      <c r="M98" t="s">
        <v>785</v>
      </c>
      <c r="N98" t="str">
        <f t="shared" si="4"/>
        <v>('033','Soledad','FN_COL_LA_SOLEDAD',2,121,1),</v>
      </c>
      <c r="R98">
        <f t="shared" si="5"/>
        <v>113</v>
      </c>
    </row>
    <row r="99" spans="1:18" ht="22.5" hidden="1" x14ac:dyDescent="0.3">
      <c r="A99" s="6" t="s">
        <v>537</v>
      </c>
      <c r="B99" s="13">
        <v>51</v>
      </c>
      <c r="C99" s="13" t="s">
        <v>1217</v>
      </c>
      <c r="D99" s="6" t="s">
        <v>286</v>
      </c>
      <c r="E99">
        <v>2</v>
      </c>
      <c r="F99" s="14">
        <v>121</v>
      </c>
      <c r="G99">
        <v>1</v>
      </c>
      <c r="H99" s="13">
        <v>51</v>
      </c>
      <c r="I99" t="str">
        <f t="shared" si="3"/>
        <v>051</v>
      </c>
      <c r="J99" s="13" t="s">
        <v>784</v>
      </c>
      <c r="K99" s="12" t="s">
        <v>783</v>
      </c>
      <c r="L99" t="s">
        <v>654</v>
      </c>
      <c r="M99" t="s">
        <v>785</v>
      </c>
      <c r="N99" t="str">
        <f t="shared" si="4"/>
        <v>('051','La Limonera','FN_COL_LA_LIMONERA',2,121,1),</v>
      </c>
      <c r="R99">
        <f t="shared" si="5"/>
        <v>114</v>
      </c>
    </row>
    <row r="100" spans="1:18" ht="22.5" hidden="1" x14ac:dyDescent="0.3">
      <c r="A100" s="6" t="s">
        <v>407</v>
      </c>
      <c r="B100" s="13">
        <v>55</v>
      </c>
      <c r="C100" s="13" t="s">
        <v>1218</v>
      </c>
      <c r="D100" s="6" t="s">
        <v>408</v>
      </c>
      <c r="E100">
        <v>2</v>
      </c>
      <c r="F100" s="14">
        <v>121</v>
      </c>
      <c r="G100">
        <v>1</v>
      </c>
      <c r="H100" s="13">
        <v>55</v>
      </c>
      <c r="I100" t="str">
        <f t="shared" si="3"/>
        <v>055</v>
      </c>
      <c r="J100" s="13" t="s">
        <v>784</v>
      </c>
      <c r="K100" s="12" t="s">
        <v>783</v>
      </c>
      <c r="L100" t="s">
        <v>654</v>
      </c>
      <c r="M100" t="s">
        <v>785</v>
      </c>
      <c r="N100" t="str">
        <f t="shared" si="4"/>
        <v>('055','San Jorge','FN_COL_SAN_JORGE',2,121,1),</v>
      </c>
      <c r="R100">
        <f t="shared" si="5"/>
        <v>115</v>
      </c>
    </row>
    <row r="101" spans="1:18" ht="22.5" hidden="1" x14ac:dyDescent="0.3">
      <c r="A101" s="6" t="s">
        <v>203</v>
      </c>
      <c r="B101" s="13">
        <v>57</v>
      </c>
      <c r="C101" s="13" t="s">
        <v>1219</v>
      </c>
      <c r="D101" s="6" t="s">
        <v>204</v>
      </c>
      <c r="E101">
        <v>2</v>
      </c>
      <c r="F101" s="14">
        <v>121</v>
      </c>
      <c r="G101">
        <v>1</v>
      </c>
      <c r="H101" s="13">
        <v>57</v>
      </c>
      <c r="I101" t="str">
        <f t="shared" si="3"/>
        <v>057</v>
      </c>
      <c r="J101" s="13" t="s">
        <v>784</v>
      </c>
      <c r="K101" s="12" t="s">
        <v>783</v>
      </c>
      <c r="L101" t="s">
        <v>654</v>
      </c>
      <c r="M101" t="s">
        <v>785</v>
      </c>
      <c r="N101" t="str">
        <f t="shared" si="4"/>
        <v>('057','Colomo','FN_COL_COLOMO',2,121,1),</v>
      </c>
      <c r="R101">
        <f t="shared" si="5"/>
        <v>116</v>
      </c>
    </row>
    <row r="102" spans="1:18" ht="22.5" hidden="1" x14ac:dyDescent="0.3">
      <c r="A102" s="6" t="s">
        <v>219</v>
      </c>
      <c r="B102" s="13">
        <v>58</v>
      </c>
      <c r="C102" s="13" t="s">
        <v>1220</v>
      </c>
      <c r="D102" s="6" t="s">
        <v>220</v>
      </c>
      <c r="E102">
        <v>2</v>
      </c>
      <c r="F102" s="14">
        <v>121</v>
      </c>
      <c r="G102">
        <v>1</v>
      </c>
      <c r="H102" s="13">
        <v>58</v>
      </c>
      <c r="I102" t="str">
        <f t="shared" si="3"/>
        <v>058</v>
      </c>
      <c r="J102" s="13" t="s">
        <v>784</v>
      </c>
      <c r="K102" s="12" t="s">
        <v>783</v>
      </c>
      <c r="L102" t="s">
        <v>654</v>
      </c>
      <c r="M102" t="s">
        <v>785</v>
      </c>
      <c r="N102" t="str">
        <f t="shared" si="4"/>
        <v>('058','El Banco','FN_COL_EL_BANCO',2,121,1),</v>
      </c>
      <c r="R102">
        <f t="shared" si="5"/>
        <v>117</v>
      </c>
    </row>
    <row r="103" spans="1:18" ht="22.5" hidden="1" x14ac:dyDescent="0.3">
      <c r="A103" s="6" t="s">
        <v>437</v>
      </c>
      <c r="B103" s="13">
        <v>61</v>
      </c>
      <c r="C103" s="13" t="s">
        <v>1221</v>
      </c>
      <c r="D103" s="6" t="s">
        <v>438</v>
      </c>
      <c r="E103">
        <v>2</v>
      </c>
      <c r="F103" s="14">
        <v>121</v>
      </c>
      <c r="G103">
        <v>1</v>
      </c>
      <c r="H103" s="13">
        <v>61</v>
      </c>
      <c r="I103" t="str">
        <f t="shared" si="3"/>
        <v>061</v>
      </c>
      <c r="J103" s="13" t="s">
        <v>784</v>
      </c>
      <c r="K103" s="12" t="s">
        <v>783</v>
      </c>
      <c r="L103" t="s">
        <v>654</v>
      </c>
      <c r="M103" t="s">
        <v>785</v>
      </c>
      <c r="N103" t="str">
        <f t="shared" si="4"/>
        <v>('061','La Tostada','FN_COL_TOSTADA',2,121,1),</v>
      </c>
      <c r="R103">
        <f t="shared" si="5"/>
        <v>118</v>
      </c>
    </row>
    <row r="104" spans="1:18" ht="22.5" hidden="1" x14ac:dyDescent="0.3">
      <c r="A104" s="6" t="s">
        <v>509</v>
      </c>
      <c r="B104" s="13">
        <v>65</v>
      </c>
      <c r="C104" s="13" t="s">
        <v>1222</v>
      </c>
      <c r="D104" s="6" t="s">
        <v>510</v>
      </c>
      <c r="E104">
        <v>2</v>
      </c>
      <c r="F104" s="14">
        <v>121</v>
      </c>
      <c r="G104">
        <v>1</v>
      </c>
      <c r="H104" s="13">
        <v>65</v>
      </c>
      <c r="I104" t="str">
        <f t="shared" si="3"/>
        <v>065</v>
      </c>
      <c r="J104" s="13" t="s">
        <v>784</v>
      </c>
      <c r="K104" s="12" t="s">
        <v>783</v>
      </c>
      <c r="L104" t="s">
        <v>654</v>
      </c>
      <c r="M104" t="s">
        <v>785</v>
      </c>
      <c r="N104" t="str">
        <f t="shared" si="4"/>
        <v>('065','La Lima','FN_COL_LA_LIMA',2,121,1),</v>
      </c>
      <c r="R104">
        <f t="shared" si="5"/>
        <v>119</v>
      </c>
    </row>
    <row r="105" spans="1:18" ht="22.5" hidden="1" x14ac:dyDescent="0.3">
      <c r="A105" s="6" t="s">
        <v>238</v>
      </c>
      <c r="B105" s="13">
        <v>71</v>
      </c>
      <c r="C105" s="13" t="s">
        <v>1223</v>
      </c>
      <c r="D105" s="6" t="s">
        <v>239</v>
      </c>
      <c r="E105">
        <v>2</v>
      </c>
      <c r="F105" s="14">
        <v>121</v>
      </c>
      <c r="G105">
        <v>1</v>
      </c>
      <c r="H105" s="13">
        <v>71</v>
      </c>
      <c r="I105" t="str">
        <f t="shared" si="3"/>
        <v>071</v>
      </c>
      <c r="J105" s="13" t="s">
        <v>784</v>
      </c>
      <c r="K105" s="12" t="s">
        <v>783</v>
      </c>
      <c r="L105" t="s">
        <v>654</v>
      </c>
      <c r="M105" t="s">
        <v>785</v>
      </c>
      <c r="N105" t="str">
        <f t="shared" si="4"/>
        <v>('071','Paraiso','FN_COL_EL_PARAISO',2,121,1),</v>
      </c>
      <c r="R105">
        <f t="shared" si="5"/>
        <v>120</v>
      </c>
    </row>
    <row r="106" spans="1:18" ht="22.5" hidden="1" x14ac:dyDescent="0.3">
      <c r="A106" s="6" t="s">
        <v>569</v>
      </c>
      <c r="B106" s="13">
        <v>81</v>
      </c>
      <c r="C106" s="13" t="s">
        <v>1224</v>
      </c>
      <c r="D106" s="6" t="s">
        <v>570</v>
      </c>
      <c r="E106">
        <v>2</v>
      </c>
      <c r="F106" s="14">
        <v>121</v>
      </c>
      <c r="G106">
        <v>1</v>
      </c>
      <c r="H106" s="13">
        <v>81</v>
      </c>
      <c r="I106" t="str">
        <f t="shared" si="3"/>
        <v>081</v>
      </c>
      <c r="J106" s="13" t="s">
        <v>784</v>
      </c>
      <c r="K106" s="12" t="s">
        <v>783</v>
      </c>
      <c r="L106" t="s">
        <v>654</v>
      </c>
      <c r="M106" t="s">
        <v>785</v>
      </c>
      <c r="N106" t="str">
        <f t="shared" si="4"/>
        <v>('081','Nacho Fernandez','FN_COL_NACHO_HDZ',2,121,1),</v>
      </c>
      <c r="R106">
        <f t="shared" si="5"/>
        <v>121</v>
      </c>
    </row>
    <row r="107" spans="1:18" ht="22.5" hidden="1" x14ac:dyDescent="0.3">
      <c r="A107" s="6" t="s">
        <v>320</v>
      </c>
      <c r="B107" s="13">
        <v>82</v>
      </c>
      <c r="C107" s="13" t="s">
        <v>1225</v>
      </c>
      <c r="D107" s="6" t="s">
        <v>321</v>
      </c>
      <c r="E107">
        <v>2</v>
      </c>
      <c r="F107" s="14">
        <v>121</v>
      </c>
      <c r="G107">
        <v>1</v>
      </c>
      <c r="H107" s="13">
        <v>82</v>
      </c>
      <c r="I107" t="str">
        <f t="shared" si="3"/>
        <v>082</v>
      </c>
      <c r="J107" s="13" t="s">
        <v>784</v>
      </c>
      <c r="K107" s="12" t="s">
        <v>783</v>
      </c>
      <c r="L107" t="s">
        <v>654</v>
      </c>
      <c r="M107" t="s">
        <v>785</v>
      </c>
      <c r="N107" t="str">
        <f t="shared" si="4"/>
        <v>('082','Albercas','FN_COL_LAS_ALBERCA',2,121,1),</v>
      </c>
      <c r="R107">
        <f t="shared" si="5"/>
        <v>122</v>
      </c>
    </row>
    <row r="108" spans="1:18" ht="22.5" hidden="1" x14ac:dyDescent="0.3">
      <c r="A108" s="6" t="s">
        <v>572</v>
      </c>
      <c r="B108" s="13">
        <v>83</v>
      </c>
      <c r="C108" s="13" t="s">
        <v>1226</v>
      </c>
      <c r="D108" s="6" t="s">
        <v>573</v>
      </c>
      <c r="E108">
        <v>2</v>
      </c>
      <c r="F108" s="14">
        <v>121</v>
      </c>
      <c r="G108">
        <v>1</v>
      </c>
      <c r="H108" s="13">
        <v>83</v>
      </c>
      <c r="I108" t="str">
        <f t="shared" si="3"/>
        <v>083</v>
      </c>
      <c r="J108" s="13" t="s">
        <v>784</v>
      </c>
      <c r="K108" s="12" t="s">
        <v>783</v>
      </c>
      <c r="L108" t="s">
        <v>654</v>
      </c>
      <c r="M108" t="s">
        <v>785</v>
      </c>
      <c r="N108" t="str">
        <f t="shared" si="4"/>
        <v>('083','Sapo de Oro MF','FN_COL_SAPO_MF',2,121,1),</v>
      </c>
      <c r="R108">
        <f t="shared" si="5"/>
        <v>123</v>
      </c>
    </row>
    <row r="109" spans="1:18" ht="22.5" hidden="1" x14ac:dyDescent="0.3">
      <c r="A109" s="6" t="s">
        <v>340</v>
      </c>
      <c r="B109" s="13">
        <v>97</v>
      </c>
      <c r="C109" s="13" t="s">
        <v>1227</v>
      </c>
      <c r="D109" s="6" t="s">
        <v>339</v>
      </c>
      <c r="E109">
        <v>2</v>
      </c>
      <c r="F109" s="14">
        <v>121</v>
      </c>
      <c r="G109">
        <v>1</v>
      </c>
      <c r="H109" s="13">
        <v>97</v>
      </c>
      <c r="I109" t="str">
        <f t="shared" si="3"/>
        <v>097</v>
      </c>
      <c r="J109" s="13" t="s">
        <v>784</v>
      </c>
      <c r="K109" s="12" t="s">
        <v>783</v>
      </c>
      <c r="L109" t="s">
        <v>654</v>
      </c>
      <c r="M109" t="s">
        <v>785</v>
      </c>
      <c r="N109" t="str">
        <f t="shared" si="4"/>
        <v>('097','Los Milagritos','FN_COL_LOS_MILAGRI',2,121,1),</v>
      </c>
      <c r="R109">
        <f t="shared" si="5"/>
        <v>124</v>
      </c>
    </row>
    <row r="110" spans="1:18" ht="22.5" hidden="1" x14ac:dyDescent="0.3">
      <c r="A110" s="6" t="s">
        <v>295</v>
      </c>
      <c r="B110" s="13">
        <v>119</v>
      </c>
      <c r="C110" s="13" t="s">
        <v>1228</v>
      </c>
      <c r="D110" s="6" t="s">
        <v>293</v>
      </c>
      <c r="E110">
        <v>2</v>
      </c>
      <c r="F110" s="14">
        <v>121</v>
      </c>
      <c r="G110">
        <v>1</v>
      </c>
      <c r="H110" s="13">
        <v>119</v>
      </c>
      <c r="I110">
        <f t="shared" si="3"/>
        <v>119</v>
      </c>
      <c r="J110" s="13" t="s">
        <v>784</v>
      </c>
      <c r="K110" s="12" t="s">
        <v>783</v>
      </c>
      <c r="L110" t="s">
        <v>654</v>
      </c>
      <c r="M110" t="s">
        <v>785</v>
      </c>
      <c r="N110" t="str">
        <f t="shared" si="4"/>
        <v>('119','La Parcela Escolar','FN_COL_LA_PARCELA',2,121,1),</v>
      </c>
      <c r="R110">
        <f t="shared" si="5"/>
        <v>125</v>
      </c>
    </row>
    <row r="111" spans="1:18" ht="22.5" hidden="1" x14ac:dyDescent="0.3">
      <c r="A111" s="6" t="s">
        <v>459</v>
      </c>
      <c r="B111" s="13">
        <v>125</v>
      </c>
      <c r="C111" s="13" t="s">
        <v>1229</v>
      </c>
      <c r="D111" s="6" t="s">
        <v>458</v>
      </c>
      <c r="E111">
        <v>2</v>
      </c>
      <c r="F111" s="14">
        <v>121</v>
      </c>
      <c r="G111">
        <v>1</v>
      </c>
      <c r="H111" s="13">
        <v>125</v>
      </c>
      <c r="I111">
        <f t="shared" si="3"/>
        <v>125</v>
      </c>
      <c r="J111" s="13" t="s">
        <v>784</v>
      </c>
      <c r="K111" s="12" t="s">
        <v>783</v>
      </c>
      <c r="L111" t="s">
        <v>654</v>
      </c>
      <c r="M111" t="s">
        <v>785</v>
      </c>
      <c r="N111" t="str">
        <f t="shared" si="4"/>
        <v>('125','Zapotan','FN_COL_ZAPOTAN',2,121,1),</v>
      </c>
      <c r="R111">
        <f t="shared" si="5"/>
        <v>126</v>
      </c>
    </row>
    <row r="112" spans="1:18" ht="22.5" hidden="1" x14ac:dyDescent="0.3">
      <c r="A112" s="6" t="s">
        <v>290</v>
      </c>
      <c r="B112" s="13">
        <v>138</v>
      </c>
      <c r="C112" s="13" t="s">
        <v>1230</v>
      </c>
      <c r="D112" s="6" t="s">
        <v>291</v>
      </c>
      <c r="E112">
        <v>2</v>
      </c>
      <c r="F112" s="14">
        <v>121</v>
      </c>
      <c r="G112">
        <v>1</v>
      </c>
      <c r="H112" s="13">
        <v>138</v>
      </c>
      <c r="I112">
        <f t="shared" si="3"/>
        <v>138</v>
      </c>
      <c r="J112" s="13" t="s">
        <v>784</v>
      </c>
      <c r="K112" s="12" t="s">
        <v>783</v>
      </c>
      <c r="L112" t="s">
        <v>654</v>
      </c>
      <c r="M112" t="s">
        <v>785</v>
      </c>
      <c r="N112" t="str">
        <f t="shared" si="4"/>
        <v>('138','La mojonera','FN_COL_LA_MOJONERA',2,121,1),</v>
      </c>
      <c r="R112">
        <f t="shared" si="5"/>
        <v>127</v>
      </c>
    </row>
    <row r="113" spans="1:18" ht="22.5" hidden="1" x14ac:dyDescent="0.3">
      <c r="A113" s="6" t="s">
        <v>305</v>
      </c>
      <c r="B113" s="13">
        <v>142</v>
      </c>
      <c r="C113" s="13" t="s">
        <v>1231</v>
      </c>
      <c r="D113" s="6" t="s">
        <v>306</v>
      </c>
      <c r="E113">
        <v>2</v>
      </c>
      <c r="F113" s="14">
        <v>121</v>
      </c>
      <c r="G113">
        <v>1</v>
      </c>
      <c r="H113" s="13">
        <v>142</v>
      </c>
      <c r="I113">
        <f t="shared" si="3"/>
        <v>142</v>
      </c>
      <c r="J113" s="13" t="s">
        <v>784</v>
      </c>
      <c r="K113" s="12" t="s">
        <v>783</v>
      </c>
      <c r="L113" t="s">
        <v>654</v>
      </c>
      <c r="M113" t="s">
        <v>785</v>
      </c>
      <c r="N113" t="str">
        <f t="shared" si="4"/>
        <v>('142','La Popa','FN_COL_LA_POPA',2,121,1),</v>
      </c>
      <c r="R113">
        <f t="shared" si="5"/>
        <v>128</v>
      </c>
    </row>
    <row r="114" spans="1:18" ht="22.5" hidden="1" x14ac:dyDescent="0.3">
      <c r="A114" s="6" t="s">
        <v>324</v>
      </c>
      <c r="B114" s="13">
        <v>151</v>
      </c>
      <c r="C114" s="13" t="s">
        <v>1232</v>
      </c>
      <c r="D114" s="6" t="s">
        <v>325</v>
      </c>
      <c r="E114">
        <v>2</v>
      </c>
      <c r="F114" s="14">
        <v>121</v>
      </c>
      <c r="G114">
        <v>1</v>
      </c>
      <c r="H114" s="13">
        <v>151</v>
      </c>
      <c r="I114">
        <f t="shared" si="3"/>
        <v>151</v>
      </c>
      <c r="J114" s="13" t="s">
        <v>784</v>
      </c>
      <c r="K114" s="12" t="s">
        <v>783</v>
      </c>
      <c r="L114" t="s">
        <v>654</v>
      </c>
      <c r="M114" t="s">
        <v>785</v>
      </c>
      <c r="N114" t="str">
        <f t="shared" si="4"/>
        <v>('151','Finca Las Hamacas','FN_COL_LAS_HAMACAS',2,121,1),</v>
      </c>
      <c r="R114">
        <f t="shared" si="5"/>
        <v>129</v>
      </c>
    </row>
    <row r="115" spans="1:18" ht="22.5" hidden="1" x14ac:dyDescent="0.3">
      <c r="A115" s="6" t="s">
        <v>271</v>
      </c>
      <c r="B115" s="13">
        <v>158</v>
      </c>
      <c r="C115" s="13" t="s">
        <v>1233</v>
      </c>
      <c r="D115" s="6" t="s">
        <v>272</v>
      </c>
      <c r="E115">
        <v>2</v>
      </c>
      <c r="F115" s="14">
        <v>121</v>
      </c>
      <c r="G115">
        <v>1</v>
      </c>
      <c r="H115" s="13">
        <v>158</v>
      </c>
      <c r="I115">
        <f t="shared" si="3"/>
        <v>158</v>
      </c>
      <c r="J115" s="13" t="s">
        <v>784</v>
      </c>
      <c r="K115" s="12" t="s">
        <v>783</v>
      </c>
      <c r="L115" t="s">
        <v>654</v>
      </c>
      <c r="M115" t="s">
        <v>785</v>
      </c>
      <c r="N115" t="str">
        <f t="shared" si="4"/>
        <v>('158','El Bado','FN_COL_KAREN_GLEZ',2,121,1),</v>
      </c>
      <c r="R115">
        <f t="shared" si="5"/>
        <v>130</v>
      </c>
    </row>
    <row r="116" spans="1:18" ht="22.5" hidden="1" x14ac:dyDescent="0.3">
      <c r="A116" s="6" t="s">
        <v>316</v>
      </c>
      <c r="B116" s="13">
        <v>160</v>
      </c>
      <c r="C116" s="13" t="s">
        <v>1234</v>
      </c>
      <c r="D116" s="6" t="s">
        <v>317</v>
      </c>
      <c r="E116">
        <v>2</v>
      </c>
      <c r="F116" s="14">
        <v>121</v>
      </c>
      <c r="G116">
        <v>1</v>
      </c>
      <c r="H116" s="13">
        <v>160</v>
      </c>
      <c r="I116">
        <f t="shared" si="3"/>
        <v>160</v>
      </c>
      <c r="J116" s="13" t="s">
        <v>784</v>
      </c>
      <c r="K116" s="12" t="s">
        <v>783</v>
      </c>
      <c r="L116" t="s">
        <v>654</v>
      </c>
      <c r="M116" t="s">
        <v>785</v>
      </c>
      <c r="N116" t="str">
        <f t="shared" si="4"/>
        <v>('160','Las 30','FN_COL_LAS_30',2,121,1),</v>
      </c>
      <c r="R116">
        <f t="shared" si="5"/>
        <v>131</v>
      </c>
    </row>
    <row r="117" spans="1:18" ht="22.5" hidden="1" x14ac:dyDescent="0.3">
      <c r="A117" s="6" t="s">
        <v>374</v>
      </c>
      <c r="B117" s="13">
        <v>177</v>
      </c>
      <c r="C117" s="13" t="s">
        <v>1235</v>
      </c>
      <c r="D117" s="6" t="s">
        <v>375</v>
      </c>
      <c r="E117">
        <v>2</v>
      </c>
      <c r="F117" s="14">
        <v>121</v>
      </c>
      <c r="G117">
        <v>1</v>
      </c>
      <c r="H117" s="13">
        <v>177</v>
      </c>
      <c r="I117">
        <f t="shared" si="3"/>
        <v>177</v>
      </c>
      <c r="J117" s="13" t="s">
        <v>784</v>
      </c>
      <c r="K117" s="12" t="s">
        <v>783</v>
      </c>
      <c r="L117" t="s">
        <v>654</v>
      </c>
      <c r="M117" t="s">
        <v>785</v>
      </c>
      <c r="N117" t="str">
        <f t="shared" si="4"/>
        <v>('177','Las Palmas','FN_COL_PALMAS_JL',2,121,1),</v>
      </c>
      <c r="R117">
        <f t="shared" si="5"/>
        <v>132</v>
      </c>
    </row>
    <row r="118" spans="1:18" ht="22.5" hidden="1" x14ac:dyDescent="0.3">
      <c r="A118" s="6" t="s">
        <v>376</v>
      </c>
      <c r="B118" s="13">
        <v>177</v>
      </c>
      <c r="C118" s="13" t="s">
        <v>1235</v>
      </c>
      <c r="D118" s="6" t="s">
        <v>375</v>
      </c>
      <c r="E118">
        <v>2</v>
      </c>
      <c r="F118" s="14">
        <v>121</v>
      </c>
      <c r="G118">
        <v>1</v>
      </c>
      <c r="H118" s="13">
        <v>177</v>
      </c>
      <c r="I118">
        <f t="shared" si="3"/>
        <v>177</v>
      </c>
      <c r="J118" s="13" t="s">
        <v>784</v>
      </c>
      <c r="K118" s="12" t="s">
        <v>783</v>
      </c>
      <c r="L118" t="s">
        <v>654</v>
      </c>
      <c r="M118" t="s">
        <v>785</v>
      </c>
      <c r="N118" t="str">
        <f t="shared" si="4"/>
        <v>('177','Las Palmas','FN_COL_PALMAS_JL',2,121,1),</v>
      </c>
      <c r="R118">
        <f t="shared" si="5"/>
        <v>133</v>
      </c>
    </row>
    <row r="119" spans="1:18" ht="22.5" hidden="1" x14ac:dyDescent="0.3">
      <c r="A119" s="6" t="s">
        <v>436</v>
      </c>
      <c r="B119" s="13">
        <v>186</v>
      </c>
      <c r="C119" s="13" t="s">
        <v>1236</v>
      </c>
      <c r="D119" s="6" t="s">
        <v>435</v>
      </c>
      <c r="E119">
        <v>2</v>
      </c>
      <c r="F119" s="14">
        <v>121</v>
      </c>
      <c r="G119">
        <v>1</v>
      </c>
      <c r="H119" s="13">
        <v>186</v>
      </c>
      <c r="I119">
        <f t="shared" si="3"/>
        <v>186</v>
      </c>
      <c r="J119" s="13" t="s">
        <v>784</v>
      </c>
      <c r="K119" s="12" t="s">
        <v>783</v>
      </c>
      <c r="L119" t="s">
        <v>654</v>
      </c>
      <c r="M119" t="s">
        <v>785</v>
      </c>
      <c r="N119" t="str">
        <f t="shared" si="4"/>
        <v>('186','Topete','FN_COL_TOPETE',2,121,1),</v>
      </c>
      <c r="R119">
        <f t="shared" si="5"/>
        <v>134</v>
      </c>
    </row>
    <row r="120" spans="1:18" ht="22.5" hidden="1" x14ac:dyDescent="0.3">
      <c r="A120" s="6" t="s">
        <v>217</v>
      </c>
      <c r="B120" s="13">
        <v>207</v>
      </c>
      <c r="C120" s="13" t="s">
        <v>1237</v>
      </c>
      <c r="D120" s="6" t="s">
        <v>218</v>
      </c>
      <c r="E120">
        <v>2</v>
      </c>
      <c r="F120" s="14">
        <v>121</v>
      </c>
      <c r="G120">
        <v>1</v>
      </c>
      <c r="H120" s="13">
        <v>207</v>
      </c>
      <c r="I120">
        <f t="shared" si="3"/>
        <v>207</v>
      </c>
      <c r="J120" s="13" t="s">
        <v>784</v>
      </c>
      <c r="K120" s="12" t="s">
        <v>783</v>
      </c>
      <c r="L120" t="s">
        <v>654</v>
      </c>
      <c r="M120" t="s">
        <v>785</v>
      </c>
      <c r="N120" t="str">
        <f t="shared" si="4"/>
        <v>('207','El Bajio','FN_COL_EL_BAJIO',2,121,1),</v>
      </c>
      <c r="R120">
        <f t="shared" si="5"/>
        <v>135</v>
      </c>
    </row>
    <row r="121" spans="1:18" ht="22.5" hidden="1" x14ac:dyDescent="0.3">
      <c r="A121" s="6" t="s">
        <v>307</v>
      </c>
      <c r="B121" s="13">
        <v>210</v>
      </c>
      <c r="C121" s="13" t="s">
        <v>1231</v>
      </c>
      <c r="D121" s="6" t="s">
        <v>306</v>
      </c>
      <c r="E121">
        <v>2</v>
      </c>
      <c r="F121" s="14">
        <v>121</v>
      </c>
      <c r="G121">
        <v>1</v>
      </c>
      <c r="H121" s="13">
        <v>210</v>
      </c>
      <c r="I121">
        <f t="shared" si="3"/>
        <v>210</v>
      </c>
      <c r="J121" s="13" t="s">
        <v>784</v>
      </c>
      <c r="K121" s="12" t="s">
        <v>783</v>
      </c>
      <c r="L121" t="s">
        <v>654</v>
      </c>
      <c r="M121" t="s">
        <v>785</v>
      </c>
      <c r="N121" t="str">
        <f t="shared" si="4"/>
        <v>('210','La Popa','FN_COL_LA_POPA',2,121,1),</v>
      </c>
      <c r="R121">
        <f t="shared" si="5"/>
        <v>136</v>
      </c>
    </row>
    <row r="122" spans="1:18" ht="22.5" hidden="1" x14ac:dyDescent="0.3">
      <c r="A122" s="6" t="s">
        <v>568</v>
      </c>
      <c r="B122" s="13">
        <v>216</v>
      </c>
      <c r="C122" s="13" t="s">
        <v>1238</v>
      </c>
      <c r="D122" s="6" t="s">
        <v>373</v>
      </c>
      <c r="E122">
        <v>2</v>
      </c>
      <c r="F122" s="14">
        <v>121</v>
      </c>
      <c r="G122">
        <v>1</v>
      </c>
      <c r="H122" s="13">
        <v>216</v>
      </c>
      <c r="I122">
        <f t="shared" si="3"/>
        <v>216</v>
      </c>
      <c r="J122" s="13" t="s">
        <v>784</v>
      </c>
      <c r="K122" s="12" t="s">
        <v>783</v>
      </c>
      <c r="L122" t="s">
        <v>654</v>
      </c>
      <c r="M122" t="s">
        <v>785</v>
      </c>
      <c r="N122" t="str">
        <f t="shared" si="4"/>
        <v>('216','Palmas','FN_COL_PALMAS_DEYS',2,121,1),</v>
      </c>
      <c r="R122">
        <f t="shared" si="5"/>
        <v>137</v>
      </c>
    </row>
    <row r="123" spans="1:18" ht="22.5" hidden="1" x14ac:dyDescent="0.3">
      <c r="A123" s="6" t="s">
        <v>506</v>
      </c>
      <c r="B123" s="13">
        <v>237</v>
      </c>
      <c r="C123" s="13" t="s">
        <v>1239</v>
      </c>
      <c r="D123" s="6" t="s">
        <v>507</v>
      </c>
      <c r="E123">
        <v>2</v>
      </c>
      <c r="F123" s="14">
        <v>121</v>
      </c>
      <c r="G123">
        <v>1</v>
      </c>
      <c r="H123" s="13">
        <v>237</v>
      </c>
      <c r="I123">
        <f t="shared" si="3"/>
        <v>237</v>
      </c>
      <c r="J123" s="13" t="s">
        <v>784</v>
      </c>
      <c r="K123" s="12" t="s">
        <v>783</v>
      </c>
      <c r="L123" t="s">
        <v>654</v>
      </c>
      <c r="M123" t="s">
        <v>785</v>
      </c>
      <c r="N123" t="str">
        <f t="shared" si="4"/>
        <v>('237','Don Lupe','FN_COL_DON_LUPE',2,121,1),</v>
      </c>
      <c r="R123">
        <f t="shared" si="5"/>
        <v>138</v>
      </c>
    </row>
    <row r="124" spans="1:18" ht="22.5" hidden="1" x14ac:dyDescent="0.3">
      <c r="A124" s="6" t="s">
        <v>231</v>
      </c>
      <c r="B124" s="13">
        <v>260</v>
      </c>
      <c r="C124" s="13" t="s">
        <v>1240</v>
      </c>
      <c r="D124" s="6" t="s">
        <v>232</v>
      </c>
      <c r="E124">
        <v>2</v>
      </c>
      <c r="F124" s="14">
        <v>121</v>
      </c>
      <c r="G124">
        <v>1</v>
      </c>
      <c r="H124" s="13">
        <v>260</v>
      </c>
      <c r="I124">
        <f t="shared" si="3"/>
        <v>260</v>
      </c>
      <c r="J124" s="13" t="s">
        <v>784</v>
      </c>
      <c r="K124" s="12" t="s">
        <v>783</v>
      </c>
      <c r="L124" t="s">
        <v>654</v>
      </c>
      <c r="M124" t="s">
        <v>785</v>
      </c>
      <c r="N124" t="str">
        <f t="shared" si="4"/>
        <v>('260','El Espinal','FN_COL_EL_ESPINAL',2,121,1),</v>
      </c>
      <c r="R124">
        <f t="shared" si="5"/>
        <v>139</v>
      </c>
    </row>
    <row r="125" spans="1:18" ht="22.5" hidden="1" x14ac:dyDescent="0.3">
      <c r="A125" s="6" t="s">
        <v>159</v>
      </c>
      <c r="B125" s="13">
        <v>266</v>
      </c>
      <c r="C125" s="13" t="s">
        <v>1241</v>
      </c>
      <c r="D125" s="6" t="s">
        <v>160</v>
      </c>
      <c r="E125">
        <v>2</v>
      </c>
      <c r="F125" s="14">
        <v>121</v>
      </c>
      <c r="G125">
        <v>1</v>
      </c>
      <c r="H125" s="13">
        <v>266</v>
      </c>
      <c r="I125">
        <f t="shared" si="3"/>
        <v>266</v>
      </c>
      <c r="J125" s="13" t="s">
        <v>784</v>
      </c>
      <c r="K125" s="12" t="s">
        <v>783</v>
      </c>
      <c r="L125" t="s">
        <v>654</v>
      </c>
      <c r="M125" t="s">
        <v>785</v>
      </c>
      <c r="N125" t="str">
        <f t="shared" si="4"/>
        <v>('266','El Aguacate JL','FN_COL_AGUACATE',2,121,1),</v>
      </c>
      <c r="R125">
        <f t="shared" si="5"/>
        <v>140</v>
      </c>
    </row>
    <row r="126" spans="1:18" ht="22.5" hidden="1" x14ac:dyDescent="0.3">
      <c r="A126" s="6" t="s">
        <v>548</v>
      </c>
      <c r="B126" s="13">
        <v>272</v>
      </c>
      <c r="C126" s="13" t="s">
        <v>1214</v>
      </c>
      <c r="D126" s="6" t="s">
        <v>206</v>
      </c>
      <c r="E126">
        <v>2</v>
      </c>
      <c r="F126" s="14">
        <v>121</v>
      </c>
      <c r="G126">
        <v>1</v>
      </c>
      <c r="H126" s="13">
        <v>272</v>
      </c>
      <c r="I126">
        <f t="shared" si="3"/>
        <v>272</v>
      </c>
      <c r="J126" s="13" t="s">
        <v>784</v>
      </c>
      <c r="K126" s="12" t="s">
        <v>783</v>
      </c>
      <c r="L126" t="s">
        <v>654</v>
      </c>
      <c r="M126" t="s">
        <v>785</v>
      </c>
      <c r="N126" t="str">
        <f t="shared" si="4"/>
        <v>('272','La Coneja','FN_COL_CONEJA',2,121,1),</v>
      </c>
      <c r="R126">
        <f t="shared" si="5"/>
        <v>141</v>
      </c>
    </row>
    <row r="127" spans="1:18" ht="22.5" hidden="1" x14ac:dyDescent="0.3">
      <c r="A127" s="6" t="s">
        <v>161</v>
      </c>
      <c r="B127" s="13">
        <v>281</v>
      </c>
      <c r="C127" s="13" t="s">
        <v>1242</v>
      </c>
      <c r="D127" s="6" t="s">
        <v>162</v>
      </c>
      <c r="E127">
        <v>2</v>
      </c>
      <c r="F127" s="14">
        <v>121</v>
      </c>
      <c r="G127">
        <v>1</v>
      </c>
      <c r="H127" s="13">
        <v>281</v>
      </c>
      <c r="I127">
        <f t="shared" si="3"/>
        <v>281</v>
      </c>
      <c r="J127" s="13" t="s">
        <v>784</v>
      </c>
      <c r="K127" s="12" t="s">
        <v>783</v>
      </c>
      <c r="L127" t="s">
        <v>654</v>
      </c>
      <c r="M127" t="s">
        <v>785</v>
      </c>
      <c r="N127" t="str">
        <f t="shared" si="4"/>
        <v>('281','El Aguila','FN_COL_AGUILA',2,121,1),</v>
      </c>
      <c r="R127">
        <f t="shared" si="5"/>
        <v>142</v>
      </c>
    </row>
    <row r="128" spans="1:18" ht="22.5" hidden="1" x14ac:dyDescent="0.3">
      <c r="A128" s="6" t="s">
        <v>422</v>
      </c>
      <c r="B128" s="13">
        <v>284</v>
      </c>
      <c r="C128" s="13" t="s">
        <v>1243</v>
      </c>
      <c r="D128" s="6" t="s">
        <v>423</v>
      </c>
      <c r="E128">
        <v>2</v>
      </c>
      <c r="F128" s="14">
        <v>121</v>
      </c>
      <c r="G128">
        <v>1</v>
      </c>
      <c r="H128" s="13">
        <v>284</v>
      </c>
      <c r="I128">
        <f t="shared" si="3"/>
        <v>284</v>
      </c>
      <c r="J128" s="13" t="s">
        <v>784</v>
      </c>
      <c r="K128" s="12" t="s">
        <v>783</v>
      </c>
      <c r="L128" t="s">
        <v>654</v>
      </c>
      <c r="M128" t="s">
        <v>785</v>
      </c>
      <c r="N128" t="str">
        <f t="shared" si="4"/>
        <v>('284','Saucera','FN_COL_SAUCERA',2,121,1),</v>
      </c>
      <c r="R128">
        <f t="shared" si="5"/>
        <v>143</v>
      </c>
    </row>
    <row r="129" spans="1:18" ht="22.5" hidden="1" x14ac:dyDescent="0.3">
      <c r="A129" s="6" t="s">
        <v>491</v>
      </c>
      <c r="B129" s="13">
        <v>285</v>
      </c>
      <c r="C129" s="13" t="s">
        <v>1244</v>
      </c>
      <c r="D129" s="6" t="s">
        <v>492</v>
      </c>
      <c r="E129">
        <v>2</v>
      </c>
      <c r="F129" s="14">
        <v>121</v>
      </c>
      <c r="G129">
        <v>1</v>
      </c>
      <c r="H129" s="13">
        <v>285</v>
      </c>
      <c r="I129">
        <f t="shared" si="3"/>
        <v>285</v>
      </c>
      <c r="J129" s="13" t="s">
        <v>784</v>
      </c>
      <c r="K129" s="12" t="s">
        <v>783</v>
      </c>
      <c r="L129" t="s">
        <v>654</v>
      </c>
      <c r="M129" t="s">
        <v>785</v>
      </c>
      <c r="N129" t="str">
        <f t="shared" si="4"/>
        <v>('285','Magaña','FN_COL_MAGANA',2,121,1),</v>
      </c>
      <c r="R129">
        <f t="shared" si="5"/>
        <v>144</v>
      </c>
    </row>
    <row r="130" spans="1:18" ht="22.5" hidden="1" x14ac:dyDescent="0.3">
      <c r="A130" s="6" t="s">
        <v>494</v>
      </c>
      <c r="B130" s="13">
        <v>286</v>
      </c>
      <c r="C130" s="13" t="s">
        <v>1245</v>
      </c>
      <c r="D130" s="6" t="s">
        <v>495</v>
      </c>
      <c r="E130">
        <v>2</v>
      </c>
      <c r="F130" s="14">
        <v>121</v>
      </c>
      <c r="G130">
        <v>1</v>
      </c>
      <c r="H130" s="13">
        <v>286</v>
      </c>
      <c r="I130">
        <f t="shared" si="3"/>
        <v>286</v>
      </c>
      <c r="J130" s="13" t="s">
        <v>784</v>
      </c>
      <c r="K130" s="12" t="s">
        <v>783</v>
      </c>
      <c r="L130" t="s">
        <v>654</v>
      </c>
      <c r="M130" t="s">
        <v>785</v>
      </c>
      <c r="N130" t="str">
        <f t="shared" si="4"/>
        <v>('286','El Rio Arif','FN_COL_RIO_ARIF',2,121,1),</v>
      </c>
      <c r="R130">
        <f t="shared" si="5"/>
        <v>145</v>
      </c>
    </row>
    <row r="131" spans="1:18" ht="22.5" hidden="1" x14ac:dyDescent="0.3">
      <c r="A131" s="6" t="s">
        <v>298</v>
      </c>
      <c r="B131" s="13">
        <v>74</v>
      </c>
      <c r="C131" s="13" t="s">
        <v>1246</v>
      </c>
      <c r="D131" s="6" t="s">
        <v>299</v>
      </c>
      <c r="E131">
        <v>2</v>
      </c>
      <c r="F131" s="14">
        <v>122</v>
      </c>
      <c r="G131">
        <v>1</v>
      </c>
      <c r="H131" s="13">
        <v>74</v>
      </c>
      <c r="I131" t="str">
        <f t="shared" ref="I131:I194" si="6">+IF(LEN(H131)=1,_xlfn.CONCAT("00",H131),IF(LEN(H131)=2,_xlfn.CONCAT("0",H131),H131))</f>
        <v>074</v>
      </c>
      <c r="J131" s="13" t="s">
        <v>784</v>
      </c>
      <c r="K131" s="12" t="s">
        <v>783</v>
      </c>
      <c r="L131" t="s">
        <v>654</v>
      </c>
      <c r="M131" t="s">
        <v>785</v>
      </c>
      <c r="N131" t="str">
        <f t="shared" ref="N131:N194" si="7">+J131&amp;K131&amp;I131&amp;K131&amp;L131&amp;K131&amp;C131&amp;K131&amp;L131&amp;K131&amp;D131&amp;K131&amp;L131&amp;E131&amp;L131&amp;F131&amp;L131&amp;G131&amp;M131&amp;L131</f>
        <v>('074','La Playa B4','FN_COL_LA_PLAYA',2,122,1),</v>
      </c>
      <c r="R131">
        <f t="shared" si="5"/>
        <v>146</v>
      </c>
    </row>
    <row r="132" spans="1:18" ht="22.5" hidden="1" x14ac:dyDescent="0.3">
      <c r="A132" s="6" t="s">
        <v>288</v>
      </c>
      <c r="B132" s="13">
        <v>79</v>
      </c>
      <c r="C132" s="13" t="s">
        <v>1247</v>
      </c>
      <c r="D132" s="6" t="s">
        <v>289</v>
      </c>
      <c r="E132">
        <v>2</v>
      </c>
      <c r="F132" s="14">
        <v>122</v>
      </c>
      <c r="G132">
        <v>1</v>
      </c>
      <c r="H132" s="13">
        <v>79</v>
      </c>
      <c r="I132" t="str">
        <f t="shared" si="6"/>
        <v>079</v>
      </c>
      <c r="J132" s="13" t="s">
        <v>784</v>
      </c>
      <c r="K132" s="12" t="s">
        <v>783</v>
      </c>
      <c r="L132" t="s">
        <v>654</v>
      </c>
      <c r="M132" t="s">
        <v>785</v>
      </c>
      <c r="N132" t="str">
        <f t="shared" si="7"/>
        <v>('079','La Luna','FN_COL_LA_LUNA',2,122,1),</v>
      </c>
      <c r="R132">
        <f t="shared" ref="R132:R195" si="8">+R131+1</f>
        <v>147</v>
      </c>
    </row>
    <row r="133" spans="1:18" ht="22.5" hidden="1" x14ac:dyDescent="0.3">
      <c r="A133" s="6" t="s">
        <v>405</v>
      </c>
      <c r="B133" s="13">
        <v>80</v>
      </c>
      <c r="C133" s="13" t="s">
        <v>1248</v>
      </c>
      <c r="D133" s="6" t="s">
        <v>406</v>
      </c>
      <c r="E133">
        <v>2</v>
      </c>
      <c r="F133" s="14">
        <v>122</v>
      </c>
      <c r="G133">
        <v>1</v>
      </c>
      <c r="H133" s="13">
        <v>80</v>
      </c>
      <c r="I133" t="str">
        <f t="shared" si="6"/>
        <v>080</v>
      </c>
      <c r="J133" s="13" t="s">
        <v>784</v>
      </c>
      <c r="K133" s="12" t="s">
        <v>783</v>
      </c>
      <c r="L133" t="s">
        <v>654</v>
      </c>
      <c r="M133" t="s">
        <v>785</v>
      </c>
      <c r="N133" t="str">
        <f t="shared" si="7"/>
        <v>('080','San Cristobal','FN_COL_SAN_CRISTOB',2,122,1),</v>
      </c>
      <c r="R133">
        <f t="shared" si="8"/>
        <v>148</v>
      </c>
    </row>
    <row r="134" spans="1:18" ht="22.5" hidden="1" x14ac:dyDescent="0.3">
      <c r="A134" s="6" t="s">
        <v>383</v>
      </c>
      <c r="B134" s="13">
        <v>123</v>
      </c>
      <c r="C134" s="13" t="s">
        <v>1249</v>
      </c>
      <c r="D134" s="6" t="s">
        <v>384</v>
      </c>
      <c r="E134">
        <v>2</v>
      </c>
      <c r="F134" s="14">
        <v>122</v>
      </c>
      <c r="G134">
        <v>1</v>
      </c>
      <c r="H134" s="13">
        <v>123</v>
      </c>
      <c r="I134">
        <f t="shared" si="6"/>
        <v>123</v>
      </c>
      <c r="J134" s="13" t="s">
        <v>784</v>
      </c>
      <c r="K134" s="12" t="s">
        <v>783</v>
      </c>
      <c r="L134" t="s">
        <v>654</v>
      </c>
      <c r="M134" t="s">
        <v>785</v>
      </c>
      <c r="N134" t="str">
        <f t="shared" si="7"/>
        <v>('123','Parota, Banamac','FN_COL_PAROTA',2,122,1),</v>
      </c>
      <c r="R134">
        <f t="shared" si="8"/>
        <v>149</v>
      </c>
    </row>
    <row r="135" spans="1:18" ht="22.5" hidden="1" x14ac:dyDescent="0.3">
      <c r="A135" s="6" t="s">
        <v>245</v>
      </c>
      <c r="B135" s="13">
        <v>171</v>
      </c>
      <c r="C135" s="13" t="s">
        <v>1250</v>
      </c>
      <c r="D135" s="6" t="s">
        <v>246</v>
      </c>
      <c r="E135">
        <v>2</v>
      </c>
      <c r="F135" s="14">
        <v>122</v>
      </c>
      <c r="G135">
        <v>1</v>
      </c>
      <c r="H135" s="13">
        <v>171</v>
      </c>
      <c r="I135">
        <f t="shared" si="6"/>
        <v>171</v>
      </c>
      <c r="J135" s="13" t="s">
        <v>784</v>
      </c>
      <c r="K135" s="12" t="s">
        <v>783</v>
      </c>
      <c r="L135" t="s">
        <v>654</v>
      </c>
      <c r="M135" t="s">
        <v>785</v>
      </c>
      <c r="N135" t="str">
        <f t="shared" si="7"/>
        <v>('171','La Escondida','FN_COL_ESCON_BANAM',2,122,1),</v>
      </c>
      <c r="R135">
        <f t="shared" si="8"/>
        <v>150</v>
      </c>
    </row>
    <row r="136" spans="1:18" ht="22.5" hidden="1" x14ac:dyDescent="0.3">
      <c r="A136" s="6" t="s">
        <v>372</v>
      </c>
      <c r="B136" s="13">
        <v>216</v>
      </c>
      <c r="C136" s="13" t="s">
        <v>1238</v>
      </c>
      <c r="D136" s="6" t="s">
        <v>373</v>
      </c>
      <c r="E136">
        <v>2</v>
      </c>
      <c r="F136" s="14">
        <v>122</v>
      </c>
      <c r="G136">
        <v>1</v>
      </c>
      <c r="H136" s="13">
        <v>216</v>
      </c>
      <c r="I136">
        <f t="shared" si="6"/>
        <v>216</v>
      </c>
      <c r="J136" s="13" t="s">
        <v>784</v>
      </c>
      <c r="K136" s="12" t="s">
        <v>783</v>
      </c>
      <c r="L136" t="s">
        <v>654</v>
      </c>
      <c r="M136" t="s">
        <v>785</v>
      </c>
      <c r="N136" t="str">
        <f t="shared" si="7"/>
        <v>('216','Palmas','FN_COL_PALMAS_DEYS',2,122,1),</v>
      </c>
      <c r="R136">
        <f t="shared" si="8"/>
        <v>151</v>
      </c>
    </row>
    <row r="137" spans="1:18" ht="22.5" hidden="1" x14ac:dyDescent="0.3">
      <c r="A137" s="6" t="s">
        <v>502</v>
      </c>
      <c r="B137" s="13">
        <v>288</v>
      </c>
      <c r="C137" s="13" t="s">
        <v>1251</v>
      </c>
      <c r="D137" s="6" t="s">
        <v>503</v>
      </c>
      <c r="E137">
        <v>2</v>
      </c>
      <c r="F137" s="14">
        <v>122</v>
      </c>
      <c r="G137">
        <v>1</v>
      </c>
      <c r="H137" s="13">
        <v>288</v>
      </c>
      <c r="I137">
        <f t="shared" si="6"/>
        <v>288</v>
      </c>
      <c r="J137" s="13" t="s">
        <v>784</v>
      </c>
      <c r="K137" s="12" t="s">
        <v>783</v>
      </c>
      <c r="L137" t="s">
        <v>654</v>
      </c>
      <c r="M137" t="s">
        <v>785</v>
      </c>
      <c r="N137" t="str">
        <f t="shared" si="7"/>
        <v>('288','El Rastro','FN_COL_RASTRO',2,122,1),</v>
      </c>
      <c r="R137">
        <f t="shared" si="8"/>
        <v>152</v>
      </c>
    </row>
    <row r="138" spans="1:18" ht="22.5" hidden="1" x14ac:dyDescent="0.3">
      <c r="A138" s="6" t="s">
        <v>541</v>
      </c>
      <c r="B138" s="13">
        <v>293</v>
      </c>
      <c r="C138" s="13" t="s">
        <v>1252</v>
      </c>
      <c r="D138" s="6" t="s">
        <v>542</v>
      </c>
      <c r="E138">
        <v>2</v>
      </c>
      <c r="F138" s="14">
        <v>122</v>
      </c>
      <c r="G138">
        <v>1</v>
      </c>
      <c r="H138" s="13">
        <v>293</v>
      </c>
      <c r="I138">
        <f t="shared" si="6"/>
        <v>293</v>
      </c>
      <c r="J138" s="13" t="s">
        <v>784</v>
      </c>
      <c r="K138" s="12" t="s">
        <v>783</v>
      </c>
      <c r="L138" t="s">
        <v>654</v>
      </c>
      <c r="M138" t="s">
        <v>785</v>
      </c>
      <c r="N138" t="str">
        <f t="shared" si="7"/>
        <v>('293','El Tesoro','FN_COL_TESORO',2,122,1),</v>
      </c>
      <c r="R138">
        <f t="shared" si="8"/>
        <v>153</v>
      </c>
    </row>
    <row r="139" spans="1:18" ht="22.5" hidden="1" x14ac:dyDescent="0.3">
      <c r="A139" s="6" t="s">
        <v>381</v>
      </c>
      <c r="B139" s="13">
        <v>251</v>
      </c>
      <c r="C139" s="13" t="s">
        <v>1253</v>
      </c>
      <c r="D139" s="6" t="s">
        <v>382</v>
      </c>
      <c r="E139">
        <v>2</v>
      </c>
      <c r="F139" s="14">
        <v>123</v>
      </c>
      <c r="G139">
        <v>1</v>
      </c>
      <c r="H139" s="13">
        <v>251</v>
      </c>
      <c r="I139">
        <f t="shared" si="6"/>
        <v>251</v>
      </c>
      <c r="J139" s="13" t="s">
        <v>784</v>
      </c>
      <c r="K139" s="12" t="s">
        <v>783</v>
      </c>
      <c r="L139" t="s">
        <v>654</v>
      </c>
      <c r="M139" t="s">
        <v>785</v>
      </c>
      <c r="N139" t="str">
        <f t="shared" si="7"/>
        <v>('251','Paraiso 3','FN_COL_PARAISO_3',2,123,1),</v>
      </c>
      <c r="R139">
        <f t="shared" si="8"/>
        <v>154</v>
      </c>
    </row>
    <row r="140" spans="1:18" ht="22.5" hidden="1" x14ac:dyDescent="0.3">
      <c r="A140" s="6" t="s">
        <v>247</v>
      </c>
      <c r="B140" s="13">
        <v>30</v>
      </c>
      <c r="C140" s="13" t="s">
        <v>1254</v>
      </c>
      <c r="D140" s="6" t="s">
        <v>248</v>
      </c>
      <c r="E140">
        <v>2</v>
      </c>
      <c r="F140" s="14">
        <v>123</v>
      </c>
      <c r="G140">
        <v>1</v>
      </c>
      <c r="H140" s="13">
        <v>30</v>
      </c>
      <c r="I140" t="str">
        <f t="shared" si="6"/>
        <v>030</v>
      </c>
      <c r="J140" s="13" t="s">
        <v>784</v>
      </c>
      <c r="K140" s="12" t="s">
        <v>783</v>
      </c>
      <c r="L140" t="s">
        <v>654</v>
      </c>
      <c r="M140" t="s">
        <v>785</v>
      </c>
      <c r="N140" t="str">
        <f t="shared" si="7"/>
        <v>('030','Fernando Velazco','FN_COL_FERNANDO_VE',2,123,1),</v>
      </c>
      <c r="R140">
        <f t="shared" si="8"/>
        <v>155</v>
      </c>
    </row>
    <row r="141" spans="1:18" ht="22.5" hidden="1" x14ac:dyDescent="0.3">
      <c r="A141" s="6" t="s">
        <v>439</v>
      </c>
      <c r="B141" s="13">
        <v>61</v>
      </c>
      <c r="C141" s="13" t="s">
        <v>1221</v>
      </c>
      <c r="D141" s="6" t="s">
        <v>438</v>
      </c>
      <c r="E141">
        <v>2</v>
      </c>
      <c r="F141" s="14">
        <v>123</v>
      </c>
      <c r="G141">
        <v>1</v>
      </c>
      <c r="H141" s="13">
        <v>61</v>
      </c>
      <c r="I141" t="str">
        <f t="shared" si="6"/>
        <v>061</v>
      </c>
      <c r="J141" s="13" t="s">
        <v>784</v>
      </c>
      <c r="K141" s="12" t="s">
        <v>783</v>
      </c>
      <c r="L141" t="s">
        <v>654</v>
      </c>
      <c r="M141" t="s">
        <v>785</v>
      </c>
      <c r="N141" t="str">
        <f t="shared" si="7"/>
        <v>('061','La Tostada','FN_COL_TOSTADA',2,123,1),</v>
      </c>
      <c r="R141">
        <f t="shared" si="8"/>
        <v>156</v>
      </c>
    </row>
    <row r="142" spans="1:18" ht="22.5" hidden="1" x14ac:dyDescent="0.3">
      <c r="A142" s="6" t="s">
        <v>357</v>
      </c>
      <c r="B142" s="13">
        <v>70</v>
      </c>
      <c r="C142" s="13" t="s">
        <v>1255</v>
      </c>
      <c r="D142" s="6" t="s">
        <v>358</v>
      </c>
      <c r="E142">
        <v>2</v>
      </c>
      <c r="F142" s="14">
        <v>123</v>
      </c>
      <c r="G142">
        <v>1</v>
      </c>
      <c r="H142" s="13">
        <v>70</v>
      </c>
      <c r="I142" t="str">
        <f t="shared" si="6"/>
        <v>070</v>
      </c>
      <c r="J142" s="13" t="s">
        <v>784</v>
      </c>
      <c r="K142" s="12" t="s">
        <v>783</v>
      </c>
      <c r="L142" t="s">
        <v>654</v>
      </c>
      <c r="M142" t="s">
        <v>785</v>
      </c>
      <c r="N142" t="str">
        <f t="shared" si="7"/>
        <v>('070','Mario Garcia','FN_COL_MARIO_GCIA',2,123,1),</v>
      </c>
      <c r="R142">
        <f t="shared" si="8"/>
        <v>157</v>
      </c>
    </row>
    <row r="143" spans="1:18" ht="22.5" hidden="1" x14ac:dyDescent="0.3">
      <c r="A143" s="6" t="s">
        <v>157</v>
      </c>
      <c r="B143" s="13">
        <v>86</v>
      </c>
      <c r="C143" s="13" t="s">
        <v>1256</v>
      </c>
      <c r="D143" s="6" t="s">
        <v>158</v>
      </c>
      <c r="E143">
        <v>2</v>
      </c>
      <c r="F143" s="14">
        <v>123</v>
      </c>
      <c r="G143">
        <v>1</v>
      </c>
      <c r="H143" s="13">
        <v>86</v>
      </c>
      <c r="I143" t="str">
        <f t="shared" si="6"/>
        <v>086</v>
      </c>
      <c r="J143" s="13" t="s">
        <v>784</v>
      </c>
      <c r="K143" s="12" t="s">
        <v>783</v>
      </c>
      <c r="L143" t="s">
        <v>654</v>
      </c>
      <c r="M143" t="s">
        <v>785</v>
      </c>
      <c r="N143" t="str">
        <f t="shared" si="7"/>
        <v>('086','Agua Sanchez','FN_COL_AGUA_SANCHZ',2,123,1),</v>
      </c>
      <c r="R143">
        <f t="shared" si="8"/>
        <v>158</v>
      </c>
    </row>
    <row r="144" spans="1:18" ht="22.5" hidden="1" x14ac:dyDescent="0.3">
      <c r="A144" s="6" t="s">
        <v>332</v>
      </c>
      <c r="B144" s="13">
        <v>111</v>
      </c>
      <c r="C144" s="13" t="s">
        <v>1257</v>
      </c>
      <c r="D144" s="6" t="s">
        <v>333</v>
      </c>
      <c r="E144">
        <v>2</v>
      </c>
      <c r="F144" s="14">
        <v>123</v>
      </c>
      <c r="G144">
        <v>1</v>
      </c>
      <c r="H144" s="13">
        <v>111</v>
      </c>
      <c r="I144">
        <f t="shared" si="6"/>
        <v>111</v>
      </c>
      <c r="J144" s="13" t="s">
        <v>784</v>
      </c>
      <c r="K144" s="12" t="s">
        <v>783</v>
      </c>
      <c r="L144" t="s">
        <v>654</v>
      </c>
      <c r="M144" t="s">
        <v>785</v>
      </c>
      <c r="N144" t="str">
        <f t="shared" si="7"/>
        <v>('111','Leonarda','FN_COL_LEONARDA',2,123,1),</v>
      </c>
      <c r="R144">
        <f t="shared" si="8"/>
        <v>159</v>
      </c>
    </row>
    <row r="145" spans="1:18" ht="22.5" hidden="1" x14ac:dyDescent="0.3">
      <c r="A145" s="6" t="s">
        <v>279</v>
      </c>
      <c r="B145" s="13">
        <v>112</v>
      </c>
      <c r="C145" s="13" t="s">
        <v>1258</v>
      </c>
      <c r="D145" s="6" t="s">
        <v>280</v>
      </c>
      <c r="E145">
        <v>2</v>
      </c>
      <c r="F145" s="14">
        <v>123</v>
      </c>
      <c r="G145">
        <v>1</v>
      </c>
      <c r="H145" s="13">
        <v>112</v>
      </c>
      <c r="I145">
        <f t="shared" si="6"/>
        <v>112</v>
      </c>
      <c r="J145" s="13" t="s">
        <v>784</v>
      </c>
      <c r="K145" s="12" t="s">
        <v>783</v>
      </c>
      <c r="L145" t="s">
        <v>654</v>
      </c>
      <c r="M145" t="s">
        <v>785</v>
      </c>
      <c r="N145" t="str">
        <f t="shared" si="7"/>
        <v>('112','La Guinea','FN_COL_LA_GUINEA',2,123,1),</v>
      </c>
      <c r="R145">
        <f t="shared" si="8"/>
        <v>160</v>
      </c>
    </row>
    <row r="146" spans="1:18" ht="22.5" hidden="1" x14ac:dyDescent="0.3">
      <c r="A146" s="6" t="s">
        <v>263</v>
      </c>
      <c r="B146" s="13">
        <v>161</v>
      </c>
      <c r="C146" s="13" t="s">
        <v>1259</v>
      </c>
      <c r="D146" s="6" t="s">
        <v>264</v>
      </c>
      <c r="E146">
        <v>2</v>
      </c>
      <c r="F146" s="14">
        <v>123</v>
      </c>
      <c r="G146">
        <v>1</v>
      </c>
      <c r="H146" s="13">
        <v>161</v>
      </c>
      <c r="I146">
        <f t="shared" si="6"/>
        <v>161</v>
      </c>
      <c r="J146" s="13" t="s">
        <v>784</v>
      </c>
      <c r="K146" s="12" t="s">
        <v>783</v>
      </c>
      <c r="L146" t="s">
        <v>654</v>
      </c>
      <c r="M146" t="s">
        <v>785</v>
      </c>
      <c r="N146" t="str">
        <f t="shared" si="7"/>
        <v>('161','Jesus Campuzano','FN_COL_JESUS_CAMP',2,123,1),</v>
      </c>
      <c r="R146">
        <f t="shared" si="8"/>
        <v>161</v>
      </c>
    </row>
    <row r="147" spans="1:18" ht="22.5" hidden="1" x14ac:dyDescent="0.3">
      <c r="A147" s="6" t="s">
        <v>496</v>
      </c>
      <c r="B147" s="13">
        <v>185</v>
      </c>
      <c r="C147" s="13" t="s">
        <v>1187</v>
      </c>
      <c r="D147" s="6" t="s">
        <v>241</v>
      </c>
      <c r="E147">
        <v>2</v>
      </c>
      <c r="F147" s="14">
        <v>123</v>
      </c>
      <c r="G147">
        <v>1</v>
      </c>
      <c r="H147" s="13">
        <v>185</v>
      </c>
      <c r="I147">
        <f t="shared" si="6"/>
        <v>185</v>
      </c>
      <c r="J147" s="13" t="s">
        <v>784</v>
      </c>
      <c r="K147" s="12" t="s">
        <v>783</v>
      </c>
      <c r="L147" t="s">
        <v>654</v>
      </c>
      <c r="M147" t="s">
        <v>785</v>
      </c>
      <c r="N147" t="str">
        <f t="shared" si="7"/>
        <v>('185','El Sueño','FN_COL_EL_SUENO',2,123,1),</v>
      </c>
      <c r="R147">
        <f t="shared" si="8"/>
        <v>162</v>
      </c>
    </row>
    <row r="148" spans="1:18" ht="22.5" hidden="1" x14ac:dyDescent="0.3">
      <c r="A148" s="6" t="s">
        <v>249</v>
      </c>
      <c r="B148" s="13">
        <v>193</v>
      </c>
      <c r="C148" s="13" t="s">
        <v>1260</v>
      </c>
      <c r="D148" s="6" t="s">
        <v>250</v>
      </c>
      <c r="E148">
        <v>2</v>
      </c>
      <c r="F148" s="14">
        <v>123</v>
      </c>
      <c r="G148">
        <v>1</v>
      </c>
      <c r="H148" s="13">
        <v>193</v>
      </c>
      <c r="I148">
        <f t="shared" si="6"/>
        <v>193</v>
      </c>
      <c r="J148" s="13" t="s">
        <v>784</v>
      </c>
      <c r="K148" s="12" t="s">
        <v>783</v>
      </c>
      <c r="L148" t="s">
        <v>654</v>
      </c>
      <c r="M148" t="s">
        <v>785</v>
      </c>
      <c r="N148" t="str">
        <f t="shared" si="7"/>
        <v>('193','El Palmar Gladis Garcia','FN_COL_GLADIS_GCIA',2,123,1),</v>
      </c>
      <c r="R148">
        <f t="shared" si="8"/>
        <v>163</v>
      </c>
    </row>
    <row r="149" spans="1:18" ht="22.5" hidden="1" x14ac:dyDescent="0.3">
      <c r="A149" s="6" t="s">
        <v>379</v>
      </c>
      <c r="B149" s="13">
        <v>196</v>
      </c>
      <c r="C149" s="13" t="s">
        <v>1261</v>
      </c>
      <c r="D149" s="6" t="s">
        <v>380</v>
      </c>
      <c r="E149">
        <v>2</v>
      </c>
      <c r="F149" s="14">
        <v>123</v>
      </c>
      <c r="G149">
        <v>1</v>
      </c>
      <c r="H149" s="13">
        <v>196</v>
      </c>
      <c r="I149">
        <f t="shared" si="6"/>
        <v>196</v>
      </c>
      <c r="J149" s="13" t="s">
        <v>784</v>
      </c>
      <c r="K149" s="12" t="s">
        <v>783</v>
      </c>
      <c r="L149" t="s">
        <v>654</v>
      </c>
      <c r="M149" t="s">
        <v>785</v>
      </c>
      <c r="N149" t="str">
        <f t="shared" si="7"/>
        <v>('196','Paraiso 2','FN_COL_PARAISO_2',2,123,1),</v>
      </c>
      <c r="R149">
        <f t="shared" si="8"/>
        <v>164</v>
      </c>
    </row>
    <row r="150" spans="1:18" ht="22.5" hidden="1" x14ac:dyDescent="0.3">
      <c r="A150" s="6" t="s">
        <v>377</v>
      </c>
      <c r="B150" s="13">
        <v>199</v>
      </c>
      <c r="C150" s="13" t="s">
        <v>1262</v>
      </c>
      <c r="D150" s="6" t="s">
        <v>378</v>
      </c>
      <c r="E150">
        <v>2</v>
      </c>
      <c r="F150" s="14">
        <v>123</v>
      </c>
      <c r="G150">
        <v>1</v>
      </c>
      <c r="H150" s="13">
        <v>199</v>
      </c>
      <c r="I150">
        <f t="shared" si="6"/>
        <v>199</v>
      </c>
      <c r="J150" s="13" t="s">
        <v>784</v>
      </c>
      <c r="K150" s="12" t="s">
        <v>783</v>
      </c>
      <c r="L150" t="s">
        <v>654</v>
      </c>
      <c r="M150" t="s">
        <v>785</v>
      </c>
      <c r="N150" t="str">
        <f t="shared" si="7"/>
        <v>('199','Paraiso 1','FN_COL_PARAISO_1',2,123,1),</v>
      </c>
      <c r="R150">
        <f t="shared" si="8"/>
        <v>165</v>
      </c>
    </row>
    <row r="151" spans="1:18" ht="22.5" hidden="1" x14ac:dyDescent="0.3">
      <c r="A151" s="6" t="s">
        <v>370</v>
      </c>
      <c r="B151" s="13">
        <v>271</v>
      </c>
      <c r="C151" s="13" t="s">
        <v>1263</v>
      </c>
      <c r="D151" s="6" t="s">
        <v>371</v>
      </c>
      <c r="E151">
        <v>2</v>
      </c>
      <c r="F151" s="14">
        <v>123</v>
      </c>
      <c r="G151">
        <v>1</v>
      </c>
      <c r="H151" s="13">
        <v>271</v>
      </c>
      <c r="I151">
        <f t="shared" si="6"/>
        <v>271</v>
      </c>
      <c r="J151" s="13" t="s">
        <v>784</v>
      </c>
      <c r="K151" s="12" t="s">
        <v>783</v>
      </c>
      <c r="L151" t="s">
        <v>654</v>
      </c>
      <c r="M151" t="s">
        <v>785</v>
      </c>
      <c r="N151" t="str">
        <f t="shared" si="7"/>
        <v>('271','Pacifico','FN_COL_PACIFICO',2,123,1),</v>
      </c>
      <c r="R151">
        <f t="shared" si="8"/>
        <v>166</v>
      </c>
    </row>
    <row r="152" spans="1:18" ht="22.5" hidden="1" x14ac:dyDescent="0.3">
      <c r="A152" s="6" t="s">
        <v>155</v>
      </c>
      <c r="B152" s="13">
        <v>277</v>
      </c>
      <c r="C152" s="13" t="s">
        <v>1264</v>
      </c>
      <c r="D152" s="6" t="s">
        <v>156</v>
      </c>
      <c r="E152">
        <v>2</v>
      </c>
      <c r="F152" s="14">
        <v>123</v>
      </c>
      <c r="G152">
        <v>1</v>
      </c>
      <c r="H152" s="13">
        <v>277</v>
      </c>
      <c r="I152">
        <f t="shared" si="6"/>
        <v>277</v>
      </c>
      <c r="J152" s="13" t="s">
        <v>784</v>
      </c>
      <c r="K152" s="12" t="s">
        <v>783</v>
      </c>
      <c r="L152" t="s">
        <v>654</v>
      </c>
      <c r="M152" t="s">
        <v>785</v>
      </c>
      <c r="N152" t="str">
        <f t="shared" si="7"/>
        <v>('277','Adan Ursua','FN_COL_ADAN_URSUA',2,123,1),</v>
      </c>
      <c r="R152">
        <f t="shared" si="8"/>
        <v>167</v>
      </c>
    </row>
    <row r="153" spans="1:18" ht="22.5" x14ac:dyDescent="0.3">
      <c r="A153" s="6" t="s">
        <v>186</v>
      </c>
      <c r="B153" s="13">
        <v>84</v>
      </c>
      <c r="C153" s="13" t="s">
        <v>1179</v>
      </c>
      <c r="D153" s="6" t="s">
        <v>187</v>
      </c>
      <c r="E153">
        <v>2</v>
      </c>
      <c r="F153" s="14">
        <v>124</v>
      </c>
      <c r="G153">
        <v>1</v>
      </c>
      <c r="H153" s="13">
        <v>84</v>
      </c>
      <c r="I153" t="str">
        <f t="shared" si="6"/>
        <v>084</v>
      </c>
      <c r="J153" s="13" t="s">
        <v>784</v>
      </c>
      <c r="K153" s="12" t="s">
        <v>783</v>
      </c>
      <c r="L153" t="s">
        <v>654</v>
      </c>
      <c r="M153" t="s">
        <v>785</v>
      </c>
      <c r="N153" t="str">
        <f t="shared" si="7"/>
        <v>('084','Caspejo','FN_COL_CASPEJO',2,124,1),</v>
      </c>
      <c r="R153">
        <f t="shared" si="8"/>
        <v>168</v>
      </c>
    </row>
    <row r="154" spans="1:18" ht="22.5" x14ac:dyDescent="0.3">
      <c r="A154" s="6" t="s">
        <v>303</v>
      </c>
      <c r="B154" s="13">
        <v>173</v>
      </c>
      <c r="C154" s="13" t="s">
        <v>1265</v>
      </c>
      <c r="D154" s="6" t="s">
        <v>301</v>
      </c>
      <c r="E154">
        <v>2</v>
      </c>
      <c r="F154" s="14">
        <v>124</v>
      </c>
      <c r="G154">
        <v>1</v>
      </c>
      <c r="H154" s="13">
        <v>173</v>
      </c>
      <c r="I154">
        <f t="shared" si="6"/>
        <v>173</v>
      </c>
      <c r="J154" s="13" t="s">
        <v>784</v>
      </c>
      <c r="K154" s="12" t="s">
        <v>783</v>
      </c>
      <c r="L154" t="s">
        <v>654</v>
      </c>
      <c r="M154" t="s">
        <v>785</v>
      </c>
      <c r="N154" t="str">
        <f t="shared" si="7"/>
        <v>('173','La Playa UE','FN_COL_LA_PLAYA_UL',2,124,1),</v>
      </c>
      <c r="R154">
        <f t="shared" si="8"/>
        <v>169</v>
      </c>
    </row>
    <row r="155" spans="1:18" ht="22.5" x14ac:dyDescent="0.3">
      <c r="A155" s="6" t="s">
        <v>505</v>
      </c>
      <c r="B155" s="13">
        <v>173</v>
      </c>
      <c r="C155" s="13" t="s">
        <v>1266</v>
      </c>
      <c r="D155" s="6" t="s">
        <v>301</v>
      </c>
      <c r="E155">
        <v>2</v>
      </c>
      <c r="F155" s="14">
        <v>124</v>
      </c>
      <c r="G155">
        <v>1</v>
      </c>
      <c r="H155" s="13">
        <v>173</v>
      </c>
      <c r="I155">
        <f t="shared" si="6"/>
        <v>173</v>
      </c>
      <c r="J155" s="13" t="s">
        <v>784</v>
      </c>
      <c r="K155" s="12" t="s">
        <v>783</v>
      </c>
      <c r="L155" t="s">
        <v>654</v>
      </c>
      <c r="M155" t="s">
        <v>785</v>
      </c>
      <c r="N155" t="str">
        <f t="shared" si="7"/>
        <v>('173','Playa UE','FN_COL_LA_PLAYA_UL',2,124,1),</v>
      </c>
      <c r="R155">
        <f t="shared" si="8"/>
        <v>170</v>
      </c>
    </row>
    <row r="156" spans="1:18" ht="22.5" x14ac:dyDescent="0.3">
      <c r="A156" s="6" t="s">
        <v>421</v>
      </c>
      <c r="B156" s="13">
        <v>209</v>
      </c>
      <c r="C156" s="13" t="s">
        <v>1267</v>
      </c>
      <c r="D156" s="6" t="s">
        <v>420</v>
      </c>
      <c r="E156">
        <v>2</v>
      </c>
      <c r="F156" s="14">
        <v>124</v>
      </c>
      <c r="G156">
        <v>1</v>
      </c>
      <c r="H156" s="13">
        <v>209</v>
      </c>
      <c r="I156">
        <f t="shared" si="6"/>
        <v>209</v>
      </c>
      <c r="J156" s="13" t="s">
        <v>784</v>
      </c>
      <c r="K156" s="12" t="s">
        <v>783</v>
      </c>
      <c r="L156" t="s">
        <v>654</v>
      </c>
      <c r="M156" t="s">
        <v>785</v>
      </c>
      <c r="N156" t="str">
        <f t="shared" si="7"/>
        <v>('209','San Vicente','FN_COL_SANVICENTE',2,124,1),</v>
      </c>
      <c r="R156">
        <f t="shared" si="8"/>
        <v>171</v>
      </c>
    </row>
    <row r="157" spans="1:18" ht="22.5" x14ac:dyDescent="0.3">
      <c r="A157" s="6" t="s">
        <v>413</v>
      </c>
      <c r="B157" s="13">
        <v>211</v>
      </c>
      <c r="C157" s="13" t="s">
        <v>1268</v>
      </c>
      <c r="D157" s="6" t="s">
        <v>410</v>
      </c>
      <c r="E157">
        <v>2</v>
      </c>
      <c r="F157" s="14">
        <v>124</v>
      </c>
      <c r="G157">
        <v>1</v>
      </c>
      <c r="H157" s="13">
        <v>211</v>
      </c>
      <c r="I157">
        <f t="shared" si="6"/>
        <v>211</v>
      </c>
      <c r="J157" s="13" t="s">
        <v>784</v>
      </c>
      <c r="K157" s="12" t="s">
        <v>783</v>
      </c>
      <c r="L157" t="s">
        <v>654</v>
      </c>
      <c r="M157" t="s">
        <v>785</v>
      </c>
      <c r="N157" t="str">
        <f t="shared" si="7"/>
        <v>('211','San Miguel Ojo de Agua','FN_COL_SAN_MIGUEL',2,124,1),</v>
      </c>
      <c r="R157">
        <f t="shared" si="8"/>
        <v>172</v>
      </c>
    </row>
    <row r="158" spans="1:18" ht="22.5" x14ac:dyDescent="0.3">
      <c r="A158" s="6" t="s">
        <v>412</v>
      </c>
      <c r="B158" s="13">
        <v>211</v>
      </c>
      <c r="C158" s="13" t="s">
        <v>1268</v>
      </c>
      <c r="D158" s="6" t="s">
        <v>410</v>
      </c>
      <c r="E158">
        <v>2</v>
      </c>
      <c r="F158" s="14">
        <v>124</v>
      </c>
      <c r="G158">
        <v>1</v>
      </c>
      <c r="H158" s="13">
        <v>211</v>
      </c>
      <c r="I158">
        <f t="shared" si="6"/>
        <v>211</v>
      </c>
      <c r="J158" s="13" t="s">
        <v>784</v>
      </c>
      <c r="K158" s="12" t="s">
        <v>783</v>
      </c>
      <c r="L158" t="s">
        <v>654</v>
      </c>
      <c r="M158" t="s">
        <v>785</v>
      </c>
      <c r="N158" t="str">
        <f t="shared" si="7"/>
        <v>('211','San Miguel Ojo de Agua','FN_COL_SAN_MIGUEL',2,124,1),</v>
      </c>
      <c r="R158">
        <f t="shared" si="8"/>
        <v>173</v>
      </c>
    </row>
    <row r="159" spans="1:18" ht="22.5" x14ac:dyDescent="0.3">
      <c r="A159" s="6" t="s">
        <v>258</v>
      </c>
      <c r="B159" s="13">
        <v>230</v>
      </c>
      <c r="C159" s="13" t="s">
        <v>1269</v>
      </c>
      <c r="D159" s="6" t="s">
        <v>256</v>
      </c>
      <c r="E159">
        <v>2</v>
      </c>
      <c r="F159" s="14">
        <v>124</v>
      </c>
      <c r="G159">
        <v>1</v>
      </c>
      <c r="H159" s="13">
        <v>230</v>
      </c>
      <c r="I159">
        <f t="shared" si="6"/>
        <v>230</v>
      </c>
      <c r="J159" s="13" t="s">
        <v>784</v>
      </c>
      <c r="K159" s="12" t="s">
        <v>783</v>
      </c>
      <c r="L159" t="s">
        <v>654</v>
      </c>
      <c r="M159" t="s">
        <v>785</v>
      </c>
      <c r="N159" t="str">
        <f t="shared" si="7"/>
        <v>('230','El Vado','FN_COL_HERMITA',2,124,1),</v>
      </c>
      <c r="R159">
        <f t="shared" si="8"/>
        <v>174</v>
      </c>
    </row>
    <row r="160" spans="1:18" ht="22.5" x14ac:dyDescent="0.3">
      <c r="A160" s="6" t="s">
        <v>440</v>
      </c>
      <c r="B160" s="13">
        <v>231</v>
      </c>
      <c r="C160" s="13" t="s">
        <v>1270</v>
      </c>
      <c r="D160" s="6" t="s">
        <v>441</v>
      </c>
      <c r="E160">
        <v>2</v>
      </c>
      <c r="F160" s="14">
        <v>124</v>
      </c>
      <c r="G160">
        <v>1</v>
      </c>
      <c r="H160" s="13">
        <v>231</v>
      </c>
      <c r="I160">
        <f t="shared" si="6"/>
        <v>231</v>
      </c>
      <c r="J160" s="13" t="s">
        <v>784</v>
      </c>
      <c r="K160" s="12" t="s">
        <v>783</v>
      </c>
      <c r="L160" t="s">
        <v>654</v>
      </c>
      <c r="M160" t="s">
        <v>785</v>
      </c>
      <c r="N160" t="str">
        <f t="shared" si="7"/>
        <v>('231','Frutas Valle Abarca','FN_COL_VALLE_ABARC',2,124,1),</v>
      </c>
      <c r="R160">
        <f t="shared" si="8"/>
        <v>175</v>
      </c>
    </row>
    <row r="161" spans="1:18" ht="22.5" x14ac:dyDescent="0.3">
      <c r="A161" s="6" t="s">
        <v>389</v>
      </c>
      <c r="B161" s="13">
        <v>236</v>
      </c>
      <c r="C161" s="13" t="s">
        <v>1194</v>
      </c>
      <c r="D161" s="6" t="s">
        <v>390</v>
      </c>
      <c r="E161">
        <v>2</v>
      </c>
      <c r="F161" s="14">
        <v>124</v>
      </c>
      <c r="G161">
        <v>1</v>
      </c>
      <c r="H161" s="13">
        <v>236</v>
      </c>
      <c r="I161">
        <f t="shared" si="6"/>
        <v>236</v>
      </c>
      <c r="J161" s="13" t="s">
        <v>784</v>
      </c>
      <c r="K161" s="12" t="s">
        <v>783</v>
      </c>
      <c r="L161" t="s">
        <v>654</v>
      </c>
      <c r="M161" t="s">
        <v>785</v>
      </c>
      <c r="N161" t="str">
        <f t="shared" si="7"/>
        <v>('236','Don Goyo','FN_COL_PENA_GOYO',2,124,1),</v>
      </c>
      <c r="R161">
        <f t="shared" si="8"/>
        <v>176</v>
      </c>
    </row>
    <row r="162" spans="1:18" ht="22.5" x14ac:dyDescent="0.3">
      <c r="A162" s="6" t="s">
        <v>259</v>
      </c>
      <c r="B162" s="13">
        <v>253</v>
      </c>
      <c r="C162" s="13" t="s">
        <v>1271</v>
      </c>
      <c r="D162" s="6" t="s">
        <v>260</v>
      </c>
      <c r="E162">
        <v>2</v>
      </c>
      <c r="F162" s="14">
        <v>124</v>
      </c>
      <c r="G162">
        <v>1</v>
      </c>
      <c r="H162" s="13">
        <v>253</v>
      </c>
      <c r="I162">
        <f t="shared" si="6"/>
        <v>253</v>
      </c>
      <c r="J162" s="13" t="s">
        <v>784</v>
      </c>
      <c r="K162" s="12" t="s">
        <v>783</v>
      </c>
      <c r="L162" t="s">
        <v>654</v>
      </c>
      <c r="M162" t="s">
        <v>785</v>
      </c>
      <c r="N162" t="str">
        <f t="shared" si="7"/>
        <v>('253','Hermanos Rivera (Jose Rivera)','FN_COL_HNOSRIVERA',2,124,1),</v>
      </c>
      <c r="R162">
        <f t="shared" si="8"/>
        <v>177</v>
      </c>
    </row>
    <row r="163" spans="1:18" ht="22.5" x14ac:dyDescent="0.3">
      <c r="A163" s="6" t="s">
        <v>563</v>
      </c>
      <c r="B163" s="13">
        <v>260</v>
      </c>
      <c r="C163" s="13" t="s">
        <v>1240</v>
      </c>
      <c r="D163" s="6" t="s">
        <v>232</v>
      </c>
      <c r="E163">
        <v>2</v>
      </c>
      <c r="F163" s="14">
        <v>124</v>
      </c>
      <c r="G163">
        <v>1</v>
      </c>
      <c r="H163" s="13">
        <v>260</v>
      </c>
      <c r="I163">
        <f t="shared" si="6"/>
        <v>260</v>
      </c>
      <c r="J163" s="13" t="s">
        <v>784</v>
      </c>
      <c r="K163" s="12" t="s">
        <v>783</v>
      </c>
      <c r="L163" t="s">
        <v>654</v>
      </c>
      <c r="M163" t="s">
        <v>785</v>
      </c>
      <c r="N163" t="str">
        <f t="shared" si="7"/>
        <v>('260','El Espinal','FN_COL_EL_ESPINAL',2,124,1),</v>
      </c>
      <c r="R163">
        <f t="shared" si="8"/>
        <v>178</v>
      </c>
    </row>
    <row r="164" spans="1:18" ht="22.5" x14ac:dyDescent="0.3">
      <c r="A164" s="6" t="s">
        <v>257</v>
      </c>
      <c r="B164" s="13">
        <v>267</v>
      </c>
      <c r="C164" s="13" t="s">
        <v>1272</v>
      </c>
      <c r="D164" s="6" t="s">
        <v>256</v>
      </c>
      <c r="E164">
        <v>2</v>
      </c>
      <c r="F164" s="14">
        <v>124</v>
      </c>
      <c r="G164">
        <v>1</v>
      </c>
      <c r="H164" s="13">
        <v>267</v>
      </c>
      <c r="I164">
        <f t="shared" si="6"/>
        <v>267</v>
      </c>
      <c r="J164" s="13" t="s">
        <v>784</v>
      </c>
      <c r="K164" s="12" t="s">
        <v>783</v>
      </c>
      <c r="L164" t="s">
        <v>654</v>
      </c>
      <c r="M164" t="s">
        <v>785</v>
      </c>
      <c r="N164" t="str">
        <f t="shared" si="7"/>
        <v>('267','La Hermita','FN_COL_HERMITA',2,124,1),</v>
      </c>
      <c r="R164">
        <f t="shared" si="8"/>
        <v>179</v>
      </c>
    </row>
    <row r="165" spans="1:18" ht="22.5" x14ac:dyDescent="0.3">
      <c r="A165" s="6" t="s">
        <v>504</v>
      </c>
      <c r="B165" s="13">
        <v>287</v>
      </c>
      <c r="C165" s="13" t="s">
        <v>1201</v>
      </c>
      <c r="D165" s="6" t="s">
        <v>501</v>
      </c>
      <c r="E165">
        <v>2</v>
      </c>
      <c r="F165" s="14">
        <v>124</v>
      </c>
      <c r="G165">
        <v>1</v>
      </c>
      <c r="H165" s="13">
        <v>287</v>
      </c>
      <c r="I165">
        <f t="shared" si="6"/>
        <v>287</v>
      </c>
      <c r="J165" s="13" t="s">
        <v>784</v>
      </c>
      <c r="K165" s="12" t="s">
        <v>783</v>
      </c>
      <c r="L165" t="s">
        <v>654</v>
      </c>
      <c r="M165" t="s">
        <v>785</v>
      </c>
      <c r="N165" t="str">
        <f t="shared" si="7"/>
        <v>('287','El Pilar','FN_COL_PILAR',2,124,1),</v>
      </c>
      <c r="R165">
        <f t="shared" si="8"/>
        <v>180</v>
      </c>
    </row>
    <row r="166" spans="1:18" ht="22.5" x14ac:dyDescent="0.3">
      <c r="A166" s="6" t="s">
        <v>551</v>
      </c>
      <c r="B166" s="13">
        <v>292</v>
      </c>
      <c r="C166" s="13" t="s">
        <v>1273</v>
      </c>
      <c r="D166" s="6" t="s">
        <v>552</v>
      </c>
      <c r="E166">
        <v>2</v>
      </c>
      <c r="F166" s="14">
        <v>124</v>
      </c>
      <c r="G166">
        <v>1</v>
      </c>
      <c r="H166" s="13">
        <v>292</v>
      </c>
      <c r="I166">
        <f t="shared" si="6"/>
        <v>292</v>
      </c>
      <c r="J166" s="13" t="s">
        <v>784</v>
      </c>
      <c r="K166" s="12" t="s">
        <v>783</v>
      </c>
      <c r="L166" t="s">
        <v>654</v>
      </c>
      <c r="M166" t="s">
        <v>785</v>
      </c>
      <c r="N166" t="str">
        <f t="shared" si="7"/>
        <v>('292','La Lupita','FN_COL_LUPITA',2,124,1),</v>
      </c>
      <c r="R166">
        <f t="shared" si="8"/>
        <v>181</v>
      </c>
    </row>
    <row r="167" spans="1:18" ht="22.5" x14ac:dyDescent="0.3">
      <c r="A167" s="6" t="s">
        <v>304</v>
      </c>
      <c r="B167" s="13">
        <v>173</v>
      </c>
      <c r="C167" s="13" t="s">
        <v>1265</v>
      </c>
      <c r="D167" s="6" t="s">
        <v>301</v>
      </c>
      <c r="E167">
        <v>2</v>
      </c>
      <c r="F167" s="14">
        <v>124</v>
      </c>
      <c r="G167">
        <v>1</v>
      </c>
      <c r="H167" s="13">
        <v>173</v>
      </c>
      <c r="I167">
        <f t="shared" si="6"/>
        <v>173</v>
      </c>
      <c r="J167" s="13" t="s">
        <v>784</v>
      </c>
      <c r="K167" s="12" t="s">
        <v>783</v>
      </c>
      <c r="L167" t="s">
        <v>654</v>
      </c>
      <c r="M167" t="s">
        <v>785</v>
      </c>
      <c r="N167" t="str">
        <f t="shared" si="7"/>
        <v>('173','La Playa UE','FN_COL_LA_PLAYA_UL',2,124,1),</v>
      </c>
      <c r="R167">
        <f t="shared" si="8"/>
        <v>182</v>
      </c>
    </row>
    <row r="168" spans="1:18" ht="22.5" hidden="1" x14ac:dyDescent="0.3">
      <c r="A168" s="6" t="s">
        <v>394</v>
      </c>
      <c r="B168" s="13">
        <v>38</v>
      </c>
      <c r="C168" s="13" t="s">
        <v>1274</v>
      </c>
      <c r="D168" s="6" t="s">
        <v>395</v>
      </c>
      <c r="E168">
        <v>2</v>
      </c>
      <c r="F168" s="14">
        <v>125</v>
      </c>
      <c r="G168">
        <v>1</v>
      </c>
      <c r="H168" s="13">
        <v>38</v>
      </c>
      <c r="I168" t="str">
        <f t="shared" si="6"/>
        <v>038</v>
      </c>
      <c r="J168" s="13" t="s">
        <v>784</v>
      </c>
      <c r="K168" s="12" t="s">
        <v>783</v>
      </c>
      <c r="L168" t="s">
        <v>654</v>
      </c>
      <c r="M168" t="s">
        <v>785</v>
      </c>
      <c r="N168" t="str">
        <f t="shared" si="7"/>
        <v>('038','Puerta de Golpe','FN_COL_PUERTA_DE_G',2,125,1),</v>
      </c>
      <c r="R168">
        <f t="shared" si="8"/>
        <v>183</v>
      </c>
    </row>
    <row r="169" spans="1:18" ht="22.5" hidden="1" x14ac:dyDescent="0.3">
      <c r="A169" s="6" t="s">
        <v>444</v>
      </c>
      <c r="B169" s="13">
        <v>45</v>
      </c>
      <c r="C169" s="13" t="s">
        <v>1207</v>
      </c>
      <c r="D169" s="6" t="s">
        <v>443</v>
      </c>
      <c r="E169">
        <v>2</v>
      </c>
      <c r="F169" s="14">
        <v>125</v>
      </c>
      <c r="G169">
        <v>1</v>
      </c>
      <c r="H169" s="13">
        <v>45</v>
      </c>
      <c r="I169" t="str">
        <f t="shared" si="6"/>
        <v>045</v>
      </c>
      <c r="J169" s="13" t="s">
        <v>784</v>
      </c>
      <c r="K169" s="12" t="s">
        <v>783</v>
      </c>
      <c r="L169" t="s">
        <v>654</v>
      </c>
      <c r="M169" t="s">
        <v>785</v>
      </c>
      <c r="N169" t="str">
        <f t="shared" si="7"/>
        <v>('045','Valle Nuevo 1','FN_COL_VALLE_NUE1',2,125,1),</v>
      </c>
      <c r="R169">
        <f t="shared" si="8"/>
        <v>184</v>
      </c>
    </row>
    <row r="170" spans="1:18" ht="22.5" hidden="1" x14ac:dyDescent="0.3">
      <c r="A170" s="6" t="s">
        <v>326</v>
      </c>
      <c r="B170" s="13">
        <v>75</v>
      </c>
      <c r="C170" s="13" t="s">
        <v>1235</v>
      </c>
      <c r="D170" s="6" t="s">
        <v>327</v>
      </c>
      <c r="E170">
        <v>2</v>
      </c>
      <c r="F170" s="14">
        <v>125</v>
      </c>
      <c r="G170">
        <v>1</v>
      </c>
      <c r="H170" s="13">
        <v>75</v>
      </c>
      <c r="I170" t="str">
        <f t="shared" si="6"/>
        <v>075</v>
      </c>
      <c r="J170" s="13" t="s">
        <v>784</v>
      </c>
      <c r="K170" s="12" t="s">
        <v>783</v>
      </c>
      <c r="L170" t="s">
        <v>654</v>
      </c>
      <c r="M170" t="s">
        <v>785</v>
      </c>
      <c r="N170" t="str">
        <f t="shared" si="7"/>
        <v>('075','Las Palmas','FN_COL_LAS_PALMAS',2,125,1),</v>
      </c>
      <c r="R170">
        <f t="shared" si="8"/>
        <v>185</v>
      </c>
    </row>
    <row r="171" spans="1:18" ht="22.5" hidden="1" x14ac:dyDescent="0.3">
      <c r="A171" s="6" t="s">
        <v>359</v>
      </c>
      <c r="B171" s="13">
        <v>162</v>
      </c>
      <c r="C171" s="13" t="s">
        <v>1275</v>
      </c>
      <c r="D171" s="6" t="s">
        <v>360</v>
      </c>
      <c r="E171">
        <v>2</v>
      </c>
      <c r="F171" s="14">
        <v>125</v>
      </c>
      <c r="G171">
        <v>1</v>
      </c>
      <c r="H171" s="13">
        <v>162</v>
      </c>
      <c r="I171">
        <f t="shared" si="6"/>
        <v>162</v>
      </c>
      <c r="J171" s="13" t="s">
        <v>784</v>
      </c>
      <c r="K171" s="12" t="s">
        <v>783</v>
      </c>
      <c r="L171" t="s">
        <v>654</v>
      </c>
      <c r="M171" t="s">
        <v>785</v>
      </c>
      <c r="N171" t="str">
        <f t="shared" si="7"/>
        <v>('162','Memin','FN_COL_MEMINC',2,125,1),</v>
      </c>
      <c r="R171">
        <f t="shared" si="8"/>
        <v>186</v>
      </c>
    </row>
    <row r="172" spans="1:18" ht="22.5" hidden="1" x14ac:dyDescent="0.3">
      <c r="A172" s="6" t="s">
        <v>302</v>
      </c>
      <c r="B172" s="13">
        <v>173</v>
      </c>
      <c r="C172" s="13" t="s">
        <v>1265</v>
      </c>
      <c r="D172" s="6" t="s">
        <v>301</v>
      </c>
      <c r="E172">
        <v>2</v>
      </c>
      <c r="F172" s="14">
        <v>125</v>
      </c>
      <c r="G172">
        <v>1</v>
      </c>
      <c r="H172" s="13">
        <v>173</v>
      </c>
      <c r="I172">
        <f t="shared" si="6"/>
        <v>173</v>
      </c>
      <c r="J172" s="13" t="s">
        <v>784</v>
      </c>
      <c r="K172" s="12" t="s">
        <v>783</v>
      </c>
      <c r="L172" t="s">
        <v>654</v>
      </c>
      <c r="M172" t="s">
        <v>785</v>
      </c>
      <c r="N172" t="str">
        <f t="shared" si="7"/>
        <v>('173','La Playa UE','FN_COL_LA_PLAYA_UL',2,125,1),</v>
      </c>
      <c r="R172">
        <f t="shared" si="8"/>
        <v>187</v>
      </c>
    </row>
    <row r="173" spans="1:18" ht="22.5" hidden="1" x14ac:dyDescent="0.3">
      <c r="A173" s="6" t="s">
        <v>519</v>
      </c>
      <c r="B173" s="13">
        <v>196</v>
      </c>
      <c r="C173" s="13" t="s">
        <v>1261</v>
      </c>
      <c r="D173" s="6" t="s">
        <v>380</v>
      </c>
      <c r="E173">
        <v>2</v>
      </c>
      <c r="F173" s="14">
        <v>125</v>
      </c>
      <c r="G173">
        <v>1</v>
      </c>
      <c r="H173" s="13">
        <v>196</v>
      </c>
      <c r="I173">
        <f t="shared" si="6"/>
        <v>196</v>
      </c>
      <c r="J173" s="13" t="s">
        <v>784</v>
      </c>
      <c r="K173" s="12" t="s">
        <v>783</v>
      </c>
      <c r="L173" t="s">
        <v>654</v>
      </c>
      <c r="M173" t="s">
        <v>785</v>
      </c>
      <c r="N173" t="str">
        <f t="shared" si="7"/>
        <v>('196','Paraiso 2','FN_COL_PARAISO_2',2,125,1),</v>
      </c>
      <c r="R173">
        <f t="shared" si="8"/>
        <v>188</v>
      </c>
    </row>
    <row r="174" spans="1:18" ht="22.5" hidden="1" x14ac:dyDescent="0.3">
      <c r="A174" s="6" t="s">
        <v>322</v>
      </c>
      <c r="B174" s="13">
        <v>201</v>
      </c>
      <c r="C174" s="13" t="s">
        <v>1276</v>
      </c>
      <c r="D174" s="6" t="s">
        <v>323</v>
      </c>
      <c r="E174">
        <v>2</v>
      </c>
      <c r="F174" s="14">
        <v>125</v>
      </c>
      <c r="G174">
        <v>1</v>
      </c>
      <c r="H174" s="13">
        <v>201</v>
      </c>
      <c r="I174">
        <f t="shared" si="6"/>
        <v>201</v>
      </c>
      <c r="J174" s="13" t="s">
        <v>784</v>
      </c>
      <c r="K174" s="12" t="s">
        <v>783</v>
      </c>
      <c r="L174" t="s">
        <v>654</v>
      </c>
      <c r="M174" t="s">
        <v>785</v>
      </c>
      <c r="N174" t="str">
        <f t="shared" si="7"/>
        <v>('201','Las Guasimas','FN_COL_LAS_GUASIMA',2,125,1),</v>
      </c>
      <c r="R174">
        <f t="shared" si="8"/>
        <v>189</v>
      </c>
    </row>
    <row r="175" spans="1:18" ht="22.5" hidden="1" x14ac:dyDescent="0.3">
      <c r="A175" s="6" t="s">
        <v>411</v>
      </c>
      <c r="B175" s="13">
        <v>211</v>
      </c>
      <c r="C175" s="13" t="s">
        <v>1268</v>
      </c>
      <c r="D175" s="6" t="s">
        <v>410</v>
      </c>
      <c r="E175">
        <v>2</v>
      </c>
      <c r="F175" s="14">
        <v>125</v>
      </c>
      <c r="G175">
        <v>1</v>
      </c>
      <c r="H175" s="13">
        <v>211</v>
      </c>
      <c r="I175">
        <f t="shared" si="6"/>
        <v>211</v>
      </c>
      <c r="J175" s="13" t="s">
        <v>784</v>
      </c>
      <c r="K175" s="12" t="s">
        <v>783</v>
      </c>
      <c r="L175" t="s">
        <v>654</v>
      </c>
      <c r="M175" t="s">
        <v>785</v>
      </c>
      <c r="N175" t="str">
        <f t="shared" si="7"/>
        <v>('211','San Miguel Ojo de Agua','FN_COL_SAN_MIGUEL',2,125,1),</v>
      </c>
      <c r="R175">
        <f t="shared" si="8"/>
        <v>190</v>
      </c>
    </row>
    <row r="176" spans="1:18" ht="22.5" hidden="1" x14ac:dyDescent="0.3">
      <c r="A176" s="6" t="s">
        <v>296</v>
      </c>
      <c r="B176" s="13">
        <v>221</v>
      </c>
      <c r="C176" s="13" t="s">
        <v>1277</v>
      </c>
      <c r="D176" s="6" t="s">
        <v>297</v>
      </c>
      <c r="E176">
        <v>2</v>
      </c>
      <c r="F176" s="14">
        <v>125</v>
      </c>
      <c r="G176">
        <v>1</v>
      </c>
      <c r="H176" s="13">
        <v>221</v>
      </c>
      <c r="I176">
        <f t="shared" si="6"/>
        <v>221</v>
      </c>
      <c r="J176" s="13" t="s">
        <v>784</v>
      </c>
      <c r="K176" s="12" t="s">
        <v>783</v>
      </c>
      <c r="L176" t="s">
        <v>654</v>
      </c>
      <c r="M176" t="s">
        <v>785</v>
      </c>
      <c r="N176" t="str">
        <f t="shared" si="7"/>
        <v>('221','La Perla del Rincon','FN_COL_LA_PERLA',2,125,1),</v>
      </c>
      <c r="R176">
        <f t="shared" si="8"/>
        <v>191</v>
      </c>
    </row>
    <row r="177" spans="1:18" ht="22.5" hidden="1" x14ac:dyDescent="0.3">
      <c r="A177" s="6" t="s">
        <v>214</v>
      </c>
      <c r="B177" s="13">
        <v>223</v>
      </c>
      <c r="C177" s="13" t="s">
        <v>1278</v>
      </c>
      <c r="D177" s="6" t="s">
        <v>215</v>
      </c>
      <c r="E177">
        <v>2</v>
      </c>
      <c r="F177" s="14">
        <v>125</v>
      </c>
      <c r="G177">
        <v>1</v>
      </c>
      <c r="H177" s="13">
        <v>223</v>
      </c>
      <c r="I177">
        <f t="shared" si="6"/>
        <v>223</v>
      </c>
      <c r="J177" s="13" t="s">
        <v>784</v>
      </c>
      <c r="K177" s="12" t="s">
        <v>783</v>
      </c>
      <c r="L177" t="s">
        <v>654</v>
      </c>
      <c r="M177" t="s">
        <v>785</v>
      </c>
      <c r="N177" t="str">
        <f t="shared" si="7"/>
        <v>('223','El Ejemplo','FN_COL_EJEMPLO',2,125,1),</v>
      </c>
      <c r="R177">
        <f t="shared" si="8"/>
        <v>192</v>
      </c>
    </row>
    <row r="178" spans="1:18" ht="22.5" hidden="1" x14ac:dyDescent="0.3">
      <c r="A178" s="6" t="s">
        <v>216</v>
      </c>
      <c r="B178" s="13">
        <v>223</v>
      </c>
      <c r="C178" s="13" t="s">
        <v>1279</v>
      </c>
      <c r="D178" s="6" t="s">
        <v>215</v>
      </c>
      <c r="E178">
        <v>2</v>
      </c>
      <c r="F178" s="14">
        <v>125</v>
      </c>
      <c r="G178">
        <v>1</v>
      </c>
      <c r="H178" s="13">
        <v>223</v>
      </c>
      <c r="I178">
        <f t="shared" si="6"/>
        <v>223</v>
      </c>
      <c r="J178" s="13" t="s">
        <v>784</v>
      </c>
      <c r="K178" s="12" t="s">
        <v>783</v>
      </c>
      <c r="L178" t="s">
        <v>654</v>
      </c>
      <c r="M178" t="s">
        <v>785</v>
      </c>
      <c r="N178" t="str">
        <f t="shared" si="7"/>
        <v>('223','El Ejemplo EV','FN_COL_EJEMPLO',2,125,1),</v>
      </c>
      <c r="R178">
        <f t="shared" si="8"/>
        <v>193</v>
      </c>
    </row>
    <row r="179" spans="1:18" ht="22.5" hidden="1" x14ac:dyDescent="0.3">
      <c r="A179" s="6" t="s">
        <v>483</v>
      </c>
      <c r="B179" s="13">
        <v>228</v>
      </c>
      <c r="C179" s="13" t="s">
        <v>1280</v>
      </c>
      <c r="D179" s="6" t="s">
        <v>461</v>
      </c>
      <c r="E179">
        <v>2</v>
      </c>
      <c r="F179" s="14">
        <v>125</v>
      </c>
      <c r="G179">
        <v>1</v>
      </c>
      <c r="H179" s="13">
        <v>228</v>
      </c>
      <c r="I179">
        <f t="shared" si="6"/>
        <v>228</v>
      </c>
      <c r="J179" s="13" t="s">
        <v>784</v>
      </c>
      <c r="K179" s="12" t="s">
        <v>783</v>
      </c>
      <c r="L179" t="s">
        <v>654</v>
      </c>
      <c r="M179" t="s">
        <v>785</v>
      </c>
      <c r="N179" t="str">
        <f t="shared" si="7"/>
        <v>('228','Zaragoza','FN_COL_ZARAGOZA',2,125,1),</v>
      </c>
      <c r="R179">
        <f t="shared" si="8"/>
        <v>194</v>
      </c>
    </row>
    <row r="180" spans="1:18" ht="22.5" hidden="1" x14ac:dyDescent="0.3">
      <c r="A180" s="6" t="s">
        <v>210</v>
      </c>
      <c r="B180" s="13">
        <v>247</v>
      </c>
      <c r="C180" s="13" t="s">
        <v>1281</v>
      </c>
      <c r="D180" s="6" t="s">
        <v>211</v>
      </c>
      <c r="E180">
        <v>2</v>
      </c>
      <c r="F180" s="14">
        <v>125</v>
      </c>
      <c r="G180">
        <v>1</v>
      </c>
      <c r="H180" s="13">
        <v>247</v>
      </c>
      <c r="I180">
        <f t="shared" si="6"/>
        <v>247</v>
      </c>
      <c r="J180" s="13" t="s">
        <v>784</v>
      </c>
      <c r="K180" s="12" t="s">
        <v>783</v>
      </c>
      <c r="L180" t="s">
        <v>654</v>
      </c>
      <c r="M180" t="s">
        <v>785</v>
      </c>
      <c r="N180" t="str">
        <f t="shared" si="7"/>
        <v>('247','Los Cuartones','FN_COL_CUARTONES',2,125,1),</v>
      </c>
      <c r="R180">
        <f t="shared" si="8"/>
        <v>195</v>
      </c>
    </row>
    <row r="181" spans="1:18" ht="22.5" hidden="1" x14ac:dyDescent="0.3">
      <c r="A181" s="6" t="s">
        <v>363</v>
      </c>
      <c r="B181" s="13">
        <v>258</v>
      </c>
      <c r="C181" s="13" t="s">
        <v>1198</v>
      </c>
      <c r="D181" s="6" t="s">
        <v>362</v>
      </c>
      <c r="E181">
        <v>2</v>
      </c>
      <c r="F181" s="14">
        <v>125</v>
      </c>
      <c r="G181">
        <v>1</v>
      </c>
      <c r="H181" s="13">
        <v>258</v>
      </c>
      <c r="I181">
        <f t="shared" si="6"/>
        <v>258</v>
      </c>
      <c r="J181" s="13" t="s">
        <v>784</v>
      </c>
      <c r="K181" s="12" t="s">
        <v>783</v>
      </c>
      <c r="L181" t="s">
        <v>654</v>
      </c>
      <c r="M181" t="s">
        <v>785</v>
      </c>
      <c r="N181" t="str">
        <f t="shared" si="7"/>
        <v>('258','Moctezuma JG','FN_COL_MOCTEZUMA',2,125,1),</v>
      </c>
      <c r="R181">
        <f t="shared" si="8"/>
        <v>196</v>
      </c>
    </row>
    <row r="182" spans="1:18" ht="22.5" hidden="1" x14ac:dyDescent="0.3">
      <c r="A182" s="6" t="s">
        <v>453</v>
      </c>
      <c r="B182" s="13">
        <v>262</v>
      </c>
      <c r="C182" s="13" t="s">
        <v>1282</v>
      </c>
      <c r="D182" s="6" t="s">
        <v>454</v>
      </c>
      <c r="E182">
        <v>2</v>
      </c>
      <c r="F182" s="14">
        <v>125</v>
      </c>
      <c r="G182">
        <v>1</v>
      </c>
      <c r="H182" s="13">
        <v>262</v>
      </c>
      <c r="I182">
        <f t="shared" si="6"/>
        <v>262</v>
      </c>
      <c r="J182" s="13" t="s">
        <v>784</v>
      </c>
      <c r="K182" s="12" t="s">
        <v>783</v>
      </c>
      <c r="L182" t="s">
        <v>654</v>
      </c>
      <c r="M182" t="s">
        <v>785</v>
      </c>
      <c r="N182" t="str">
        <f t="shared" si="7"/>
        <v>('262','El Venado EV','FN_COL_VENADO_EV',2,125,1),</v>
      </c>
      <c r="R182">
        <f t="shared" si="8"/>
        <v>197</v>
      </c>
    </row>
    <row r="183" spans="1:18" ht="22.5" hidden="1" x14ac:dyDescent="0.3">
      <c r="A183" s="6" t="s">
        <v>253</v>
      </c>
      <c r="B183" s="13">
        <v>280</v>
      </c>
      <c r="C183" s="13" t="s">
        <v>1283</v>
      </c>
      <c r="D183" s="6" t="s">
        <v>254</v>
      </c>
      <c r="E183">
        <v>2</v>
      </c>
      <c r="F183" s="14">
        <v>125</v>
      </c>
      <c r="G183">
        <v>1</v>
      </c>
      <c r="H183" s="13">
        <v>280</v>
      </c>
      <c r="I183">
        <f t="shared" si="6"/>
        <v>280</v>
      </c>
      <c r="J183" s="13" t="s">
        <v>784</v>
      </c>
      <c r="K183" s="12" t="s">
        <v>783</v>
      </c>
      <c r="L183" t="s">
        <v>654</v>
      </c>
      <c r="M183" t="s">
        <v>785</v>
      </c>
      <c r="N183" t="str">
        <f t="shared" si="7"/>
        <v>('280','La Guerita','FN_COL_GUERITA',2,125,1),</v>
      </c>
      <c r="R183">
        <f t="shared" si="8"/>
        <v>198</v>
      </c>
    </row>
    <row r="184" spans="1:18" ht="22.5" hidden="1" x14ac:dyDescent="0.3">
      <c r="A184" s="6" t="s">
        <v>414</v>
      </c>
      <c r="B184" s="13">
        <v>15</v>
      </c>
      <c r="C184" s="13" t="s">
        <v>1284</v>
      </c>
      <c r="D184" s="6" t="s">
        <v>415</v>
      </c>
      <c r="E184">
        <v>2</v>
      </c>
      <c r="F184" s="14">
        <v>128</v>
      </c>
      <c r="G184">
        <v>1</v>
      </c>
      <c r="H184" s="13">
        <v>15</v>
      </c>
      <c r="I184" t="str">
        <f t="shared" si="6"/>
        <v>015</v>
      </c>
      <c r="J184" s="13" t="s">
        <v>784</v>
      </c>
      <c r="K184" s="12" t="s">
        <v>783</v>
      </c>
      <c r="L184" t="s">
        <v>654</v>
      </c>
      <c r="M184" t="s">
        <v>785</v>
      </c>
      <c r="N184" t="str">
        <f t="shared" si="7"/>
        <v>('015','San Rafael','FN_COL_SAN_RAFAEL',2,128,1),</v>
      </c>
      <c r="R184">
        <f t="shared" si="8"/>
        <v>199</v>
      </c>
    </row>
    <row r="185" spans="1:18" ht="22.5" hidden="1" x14ac:dyDescent="0.3">
      <c r="A185" s="6" t="s">
        <v>283</v>
      </c>
      <c r="B185" s="13">
        <v>140</v>
      </c>
      <c r="C185" s="13" t="s">
        <v>1285</v>
      </c>
      <c r="D185" s="6" t="s">
        <v>284</v>
      </c>
      <c r="E185">
        <v>2</v>
      </c>
      <c r="F185" s="14">
        <v>128</v>
      </c>
      <c r="G185">
        <v>1</v>
      </c>
      <c r="H185" s="13">
        <v>140</v>
      </c>
      <c r="I185">
        <f t="shared" si="6"/>
        <v>140</v>
      </c>
      <c r="J185" s="13" t="s">
        <v>784</v>
      </c>
      <c r="K185" s="12" t="s">
        <v>783</v>
      </c>
      <c r="L185" t="s">
        <v>654</v>
      </c>
      <c r="M185" t="s">
        <v>785</v>
      </c>
      <c r="N185" t="str">
        <f t="shared" si="7"/>
        <v>('140','La Laguna','FN_COL_LA_LAGUNA',2,128,1),</v>
      </c>
      <c r="R185">
        <f t="shared" si="8"/>
        <v>200</v>
      </c>
    </row>
    <row r="186" spans="1:18" ht="22.5" hidden="1" x14ac:dyDescent="0.3">
      <c r="A186" s="6" t="s">
        <v>221</v>
      </c>
      <c r="B186" s="13">
        <v>194</v>
      </c>
      <c r="C186" s="13" t="s">
        <v>1286</v>
      </c>
      <c r="D186" s="6" t="s">
        <v>222</v>
      </c>
      <c r="E186">
        <v>2</v>
      </c>
      <c r="F186" s="14">
        <v>128</v>
      </c>
      <c r="G186">
        <v>1</v>
      </c>
      <c r="H186" s="13">
        <v>194</v>
      </c>
      <c r="I186">
        <f t="shared" si="6"/>
        <v>194</v>
      </c>
      <c r="J186" s="13" t="s">
        <v>784</v>
      </c>
      <c r="K186" s="12" t="s">
        <v>783</v>
      </c>
      <c r="L186" t="s">
        <v>654</v>
      </c>
      <c r="M186" t="s">
        <v>785</v>
      </c>
      <c r="N186" t="str">
        <f t="shared" si="7"/>
        <v>('194','El Café','FN_COL_EL_CAFE',2,128,1),</v>
      </c>
      <c r="R186">
        <f t="shared" si="8"/>
        <v>201</v>
      </c>
    </row>
    <row r="187" spans="1:18" ht="22.5" hidden="1" x14ac:dyDescent="0.3">
      <c r="A187" s="6" t="s">
        <v>424</v>
      </c>
      <c r="B187" s="13">
        <v>165</v>
      </c>
      <c r="C187" s="13" t="s">
        <v>1287</v>
      </c>
      <c r="D187" s="6" t="s">
        <v>425</v>
      </c>
      <c r="E187">
        <v>2</v>
      </c>
      <c r="F187" s="14">
        <v>130</v>
      </c>
      <c r="G187">
        <v>1</v>
      </c>
      <c r="H187" s="13">
        <v>165</v>
      </c>
      <c r="I187">
        <f t="shared" si="6"/>
        <v>165</v>
      </c>
      <c r="J187" s="13" t="s">
        <v>784</v>
      </c>
      <c r="K187" s="12" t="s">
        <v>783</v>
      </c>
      <c r="L187" t="s">
        <v>654</v>
      </c>
      <c r="M187" t="s">
        <v>785</v>
      </c>
      <c r="N187" t="str">
        <f t="shared" si="7"/>
        <v>('165','El Saucito 1 GG','FN_COL_SAUCITO_1',2,130,1),</v>
      </c>
      <c r="R187">
        <f t="shared" si="8"/>
        <v>202</v>
      </c>
    </row>
    <row r="188" spans="1:18" ht="22.5" hidden="1" x14ac:dyDescent="0.3">
      <c r="A188" s="6" t="s">
        <v>181</v>
      </c>
      <c r="B188" s="13">
        <v>167</v>
      </c>
      <c r="C188" s="13" t="s">
        <v>1288</v>
      </c>
      <c r="D188" s="6" t="s">
        <v>182</v>
      </c>
      <c r="E188">
        <v>2</v>
      </c>
      <c r="F188" s="14">
        <v>130</v>
      </c>
      <c r="G188">
        <v>1</v>
      </c>
      <c r="H188" s="13">
        <v>167</v>
      </c>
      <c r="I188">
        <f t="shared" si="6"/>
        <v>167</v>
      </c>
      <c r="J188" s="13" t="s">
        <v>784</v>
      </c>
      <c r="K188" s="12" t="s">
        <v>783</v>
      </c>
      <c r="L188" t="s">
        <v>654</v>
      </c>
      <c r="M188" t="s">
        <v>785</v>
      </c>
      <c r="N188" t="str">
        <f t="shared" si="7"/>
        <v>('167','Callejones','FN_COL_CALLEJONES',2,130,1),</v>
      </c>
      <c r="R188">
        <f t="shared" si="8"/>
        <v>203</v>
      </c>
    </row>
    <row r="189" spans="1:18" ht="22.5" hidden="1" x14ac:dyDescent="0.3">
      <c r="A189" s="6" t="s">
        <v>426</v>
      </c>
      <c r="B189" s="13">
        <v>174</v>
      </c>
      <c r="C189" s="13" t="s">
        <v>1289</v>
      </c>
      <c r="D189" s="6" t="s">
        <v>427</v>
      </c>
      <c r="E189">
        <v>2</v>
      </c>
      <c r="F189" s="14">
        <v>130</v>
      </c>
      <c r="G189">
        <v>1</v>
      </c>
      <c r="H189" s="13">
        <v>174</v>
      </c>
      <c r="I189">
        <f t="shared" si="6"/>
        <v>174</v>
      </c>
      <c r="J189" s="13" t="s">
        <v>784</v>
      </c>
      <c r="K189" s="12" t="s">
        <v>783</v>
      </c>
      <c r="L189" t="s">
        <v>654</v>
      </c>
      <c r="M189" t="s">
        <v>785</v>
      </c>
      <c r="N189" t="str">
        <f t="shared" si="7"/>
        <v>('174','El Saucito 2 GG','FN_COL_SAUCITO_2',2,130,1),</v>
      </c>
      <c r="R189">
        <f t="shared" si="8"/>
        <v>204</v>
      </c>
    </row>
    <row r="190" spans="1:18" ht="22.5" hidden="1" x14ac:dyDescent="0.3">
      <c r="A190" s="6" t="s">
        <v>416</v>
      </c>
      <c r="B190" s="13">
        <v>175</v>
      </c>
      <c r="C190" s="13" t="s">
        <v>1151</v>
      </c>
      <c r="D190" s="6" t="s">
        <v>417</v>
      </c>
      <c r="E190">
        <v>2</v>
      </c>
      <c r="F190" s="14">
        <v>130</v>
      </c>
      <c r="G190">
        <v>1</v>
      </c>
      <c r="H190" s="13">
        <v>175</v>
      </c>
      <c r="I190">
        <f t="shared" si="6"/>
        <v>175</v>
      </c>
      <c r="J190" s="13" t="s">
        <v>784</v>
      </c>
      <c r="K190" s="12" t="s">
        <v>783</v>
      </c>
      <c r="L190" t="s">
        <v>654</v>
      </c>
      <c r="M190" t="s">
        <v>785</v>
      </c>
      <c r="N190" t="str">
        <f t="shared" si="7"/>
        <v>('175','Santa Elena','FN_COL_SANTA_ELENA',2,130,1),</v>
      </c>
      <c r="R190">
        <f t="shared" si="8"/>
        <v>205</v>
      </c>
    </row>
    <row r="191" spans="1:18" ht="22.5" hidden="1" x14ac:dyDescent="0.3">
      <c r="A191" s="6" t="s">
        <v>194</v>
      </c>
      <c r="B191" s="13">
        <v>188</v>
      </c>
      <c r="C191" s="13" t="s">
        <v>1290</v>
      </c>
      <c r="D191" s="6" t="s">
        <v>195</v>
      </c>
      <c r="E191">
        <v>2</v>
      </c>
      <c r="F191" s="14">
        <v>130</v>
      </c>
      <c r="G191">
        <v>1</v>
      </c>
      <c r="H191" s="13">
        <v>188</v>
      </c>
      <c r="I191">
        <f t="shared" si="6"/>
        <v>188</v>
      </c>
      <c r="J191" s="13" t="s">
        <v>784</v>
      </c>
      <c r="K191" s="12" t="s">
        <v>783</v>
      </c>
      <c r="L191" t="s">
        <v>654</v>
      </c>
      <c r="M191" t="s">
        <v>785</v>
      </c>
      <c r="N191" t="str">
        <f t="shared" si="7"/>
        <v>('188','Chanchopa','FN_COL_CHANCHOPA',2,130,1),</v>
      </c>
      <c r="R191">
        <f t="shared" si="8"/>
        <v>206</v>
      </c>
    </row>
    <row r="192" spans="1:18" ht="22.5" hidden="1" x14ac:dyDescent="0.3">
      <c r="A192" s="6" t="s">
        <v>312</v>
      </c>
      <c r="B192" s="13">
        <v>283</v>
      </c>
      <c r="C192" s="13" t="s">
        <v>1291</v>
      </c>
      <c r="D192" s="6" t="s">
        <v>313</v>
      </c>
      <c r="E192">
        <v>2</v>
      </c>
      <c r="F192" s="14">
        <v>130</v>
      </c>
      <c r="G192">
        <v>1</v>
      </c>
      <c r="H192" s="13">
        <v>283</v>
      </c>
      <c r="I192">
        <f t="shared" si="6"/>
        <v>283</v>
      </c>
      <c r="J192" s="13" t="s">
        <v>784</v>
      </c>
      <c r="K192" s="12" t="s">
        <v>783</v>
      </c>
      <c r="L192" t="s">
        <v>654</v>
      </c>
      <c r="M192" t="s">
        <v>785</v>
      </c>
      <c r="N192" t="str">
        <f t="shared" si="7"/>
        <v>('283','La Laguna GG','FN_COL_LAGUNAGG',2,130,1),</v>
      </c>
      <c r="R192">
        <f t="shared" si="8"/>
        <v>207</v>
      </c>
    </row>
    <row r="193" spans="1:18" ht="22.5" hidden="1" x14ac:dyDescent="0.3">
      <c r="A193" s="6" t="s">
        <v>183</v>
      </c>
      <c r="B193" s="13">
        <v>94</v>
      </c>
      <c r="C193" s="13" t="s">
        <v>1292</v>
      </c>
      <c r="D193" s="6" t="s">
        <v>184</v>
      </c>
      <c r="E193">
        <v>2</v>
      </c>
      <c r="F193" s="14">
        <v>131</v>
      </c>
      <c r="G193">
        <v>1</v>
      </c>
      <c r="H193" s="13">
        <v>94</v>
      </c>
      <c r="I193" t="str">
        <f t="shared" si="6"/>
        <v>094</v>
      </c>
      <c r="J193" s="13" t="s">
        <v>784</v>
      </c>
      <c r="K193" s="12" t="s">
        <v>783</v>
      </c>
      <c r="L193" t="s">
        <v>654</v>
      </c>
      <c r="M193" t="s">
        <v>785</v>
      </c>
      <c r="N193" t="str">
        <f t="shared" si="7"/>
        <v>('094','Camalote','FN_COL_CAMALOTE',2,131,1),</v>
      </c>
      <c r="R193">
        <f t="shared" si="8"/>
        <v>208</v>
      </c>
    </row>
    <row r="194" spans="1:18" ht="22.5" hidden="1" x14ac:dyDescent="0.3">
      <c r="A194" s="6" t="s">
        <v>185</v>
      </c>
      <c r="B194" s="13">
        <v>94</v>
      </c>
      <c r="C194" s="13" t="s">
        <v>1292</v>
      </c>
      <c r="D194" s="6" t="s">
        <v>184</v>
      </c>
      <c r="E194">
        <v>2</v>
      </c>
      <c r="F194" s="14">
        <v>131</v>
      </c>
      <c r="G194">
        <v>1</v>
      </c>
      <c r="H194" s="13">
        <v>94</v>
      </c>
      <c r="I194" t="str">
        <f t="shared" si="6"/>
        <v>094</v>
      </c>
      <c r="J194" s="13" t="s">
        <v>784</v>
      </c>
      <c r="K194" s="12" t="s">
        <v>783</v>
      </c>
      <c r="L194" t="s">
        <v>654</v>
      </c>
      <c r="M194" t="s">
        <v>785</v>
      </c>
      <c r="N194" t="str">
        <f t="shared" si="7"/>
        <v>('094','Camalote','FN_COL_CAMALOTE',2,131,1),</v>
      </c>
      <c r="R194">
        <f t="shared" si="8"/>
        <v>209</v>
      </c>
    </row>
    <row r="195" spans="1:18" ht="22.5" hidden="1" x14ac:dyDescent="0.3">
      <c r="A195" s="6" t="s">
        <v>336</v>
      </c>
      <c r="B195" s="13">
        <v>95</v>
      </c>
      <c r="C195" s="13" t="s">
        <v>1293</v>
      </c>
      <c r="D195" s="6" t="s">
        <v>337</v>
      </c>
      <c r="E195">
        <v>2</v>
      </c>
      <c r="F195" s="14">
        <v>131</v>
      </c>
      <c r="G195">
        <v>1</v>
      </c>
      <c r="H195" s="13">
        <v>95</v>
      </c>
      <c r="I195" t="str">
        <f t="shared" ref="I195:I258" si="9">+IF(LEN(H195)=1,_xlfn.CONCAT("00",H195),IF(LEN(H195)=2,_xlfn.CONCAT("0",H195),H195))</f>
        <v>095</v>
      </c>
      <c r="J195" s="13" t="s">
        <v>784</v>
      </c>
      <c r="K195" s="12" t="s">
        <v>783</v>
      </c>
      <c r="L195" t="s">
        <v>654</v>
      </c>
      <c r="M195" t="s">
        <v>785</v>
      </c>
      <c r="N195" t="str">
        <f t="shared" ref="N195:N258" si="10">+J195&amp;K195&amp;I195&amp;K195&amp;L195&amp;K195&amp;C195&amp;K195&amp;L195&amp;K195&amp;D195&amp;K195&amp;L195&amp;E195&amp;L195&amp;F195&amp;L195&amp;G195&amp;M195&amp;L195</f>
        <v>('095','Los dos Hermanos Juan Valdivia','FN_COL_LOS_DOS_HER',2,131,1),</v>
      </c>
      <c r="R195">
        <f t="shared" si="8"/>
        <v>210</v>
      </c>
    </row>
    <row r="196" spans="1:18" ht="22.5" hidden="1" x14ac:dyDescent="0.3">
      <c r="A196" s="6" t="s">
        <v>281</v>
      </c>
      <c r="B196" s="13">
        <v>96</v>
      </c>
      <c r="C196" s="13" t="s">
        <v>1294</v>
      </c>
      <c r="D196" s="6" t="s">
        <v>282</v>
      </c>
      <c r="E196">
        <v>2</v>
      </c>
      <c r="F196" s="14">
        <v>131</v>
      </c>
      <c r="G196">
        <v>1</v>
      </c>
      <c r="H196" s="13">
        <v>96</v>
      </c>
      <c r="I196" t="str">
        <f t="shared" si="9"/>
        <v>096</v>
      </c>
      <c r="J196" s="13" t="s">
        <v>784</v>
      </c>
      <c r="K196" s="12" t="s">
        <v>783</v>
      </c>
      <c r="L196" t="s">
        <v>654</v>
      </c>
      <c r="M196" t="s">
        <v>785</v>
      </c>
      <c r="N196" t="str">
        <f t="shared" si="10"/>
        <v>('096','La Ilusion','FN_COL_LA_ILUSION',2,131,1),</v>
      </c>
      <c r="R196">
        <f t="shared" ref="R196:R259" si="11">+R195+1</f>
        <v>211</v>
      </c>
    </row>
    <row r="197" spans="1:18" ht="22.5" hidden="1" x14ac:dyDescent="0.3">
      <c r="A197" s="6" t="s">
        <v>338</v>
      </c>
      <c r="B197" s="13">
        <v>97</v>
      </c>
      <c r="C197" s="13" t="s">
        <v>1227</v>
      </c>
      <c r="D197" s="6" t="s">
        <v>339</v>
      </c>
      <c r="E197">
        <v>2</v>
      </c>
      <c r="F197" s="14">
        <v>131</v>
      </c>
      <c r="G197">
        <v>1</v>
      </c>
      <c r="H197" s="13">
        <v>97</v>
      </c>
      <c r="I197" t="str">
        <f t="shared" si="9"/>
        <v>097</v>
      </c>
      <c r="J197" s="13" t="s">
        <v>784</v>
      </c>
      <c r="K197" s="12" t="s">
        <v>783</v>
      </c>
      <c r="L197" t="s">
        <v>654</v>
      </c>
      <c r="M197" t="s">
        <v>785</v>
      </c>
      <c r="N197" t="str">
        <f t="shared" si="10"/>
        <v>('097','Los Milagritos','FN_COL_LOS_MILAGRI',2,131,1),</v>
      </c>
      <c r="R197">
        <f t="shared" si="11"/>
        <v>212</v>
      </c>
    </row>
    <row r="198" spans="1:18" ht="22.5" hidden="1" x14ac:dyDescent="0.3">
      <c r="A198" s="6" t="s">
        <v>334</v>
      </c>
      <c r="B198" s="13">
        <v>178</v>
      </c>
      <c r="C198" s="13" t="s">
        <v>1295</v>
      </c>
      <c r="D198" s="6" t="s">
        <v>335</v>
      </c>
      <c r="E198">
        <v>2</v>
      </c>
      <c r="F198" s="14">
        <v>131</v>
      </c>
      <c r="G198">
        <v>1</v>
      </c>
      <c r="H198" s="13">
        <v>178</v>
      </c>
      <c r="I198">
        <f t="shared" si="9"/>
        <v>178</v>
      </c>
      <c r="J198" s="13" t="s">
        <v>784</v>
      </c>
      <c r="K198" s="12" t="s">
        <v>783</v>
      </c>
      <c r="L198" t="s">
        <v>654</v>
      </c>
      <c r="M198" t="s">
        <v>785</v>
      </c>
      <c r="N198" t="str">
        <f t="shared" si="10"/>
        <v>('178','Los Almendros','FN_COL_LOS_ALMENDR',2,131,1),</v>
      </c>
      <c r="R198">
        <f t="shared" si="11"/>
        <v>213</v>
      </c>
    </row>
    <row r="199" spans="1:18" ht="22.5" hidden="1" x14ac:dyDescent="0.3">
      <c r="A199" s="6" t="s">
        <v>434</v>
      </c>
      <c r="B199" s="13">
        <v>186</v>
      </c>
      <c r="C199" s="13" t="s">
        <v>1236</v>
      </c>
      <c r="D199" s="6" t="s">
        <v>435</v>
      </c>
      <c r="E199">
        <v>2</v>
      </c>
      <c r="F199" s="14">
        <v>131</v>
      </c>
      <c r="G199">
        <v>1</v>
      </c>
      <c r="H199" s="13">
        <v>186</v>
      </c>
      <c r="I199">
        <f t="shared" si="9"/>
        <v>186</v>
      </c>
      <c r="J199" s="13" t="s">
        <v>784</v>
      </c>
      <c r="K199" s="12" t="s">
        <v>783</v>
      </c>
      <c r="L199" t="s">
        <v>654</v>
      </c>
      <c r="M199" t="s">
        <v>785</v>
      </c>
      <c r="N199" t="str">
        <f t="shared" si="10"/>
        <v>('186','Topete','FN_COL_TOPETE',2,131,1),</v>
      </c>
      <c r="R199">
        <f t="shared" si="11"/>
        <v>214</v>
      </c>
    </row>
    <row r="200" spans="1:18" ht="22.5" hidden="1" x14ac:dyDescent="0.3">
      <c r="A200" s="6" t="s">
        <v>419</v>
      </c>
      <c r="B200" s="13">
        <v>209</v>
      </c>
      <c r="C200" s="13" t="s">
        <v>1267</v>
      </c>
      <c r="D200" s="6" t="s">
        <v>420</v>
      </c>
      <c r="E200">
        <v>2</v>
      </c>
      <c r="F200" s="14">
        <v>131</v>
      </c>
      <c r="G200">
        <v>1</v>
      </c>
      <c r="H200" s="13">
        <v>209</v>
      </c>
      <c r="I200">
        <f t="shared" si="9"/>
        <v>209</v>
      </c>
      <c r="J200" s="13" t="s">
        <v>784</v>
      </c>
      <c r="K200" s="12" t="s">
        <v>783</v>
      </c>
      <c r="L200" t="s">
        <v>654</v>
      </c>
      <c r="M200" t="s">
        <v>785</v>
      </c>
      <c r="N200" t="str">
        <f t="shared" si="10"/>
        <v>('209','San Vicente','FN_COL_SANVICENTE',2,131,1),</v>
      </c>
      <c r="R200">
        <f t="shared" si="11"/>
        <v>215</v>
      </c>
    </row>
    <row r="201" spans="1:18" ht="22.5" hidden="1" x14ac:dyDescent="0.3">
      <c r="A201" s="6" t="s">
        <v>513</v>
      </c>
      <c r="B201" s="13">
        <v>210</v>
      </c>
      <c r="C201" s="13" t="s">
        <v>1231</v>
      </c>
      <c r="D201" s="6" t="s">
        <v>306</v>
      </c>
      <c r="E201">
        <v>2</v>
      </c>
      <c r="F201" s="14">
        <v>131</v>
      </c>
      <c r="G201">
        <v>1</v>
      </c>
      <c r="H201" s="13">
        <v>210</v>
      </c>
      <c r="I201">
        <f t="shared" si="9"/>
        <v>210</v>
      </c>
      <c r="J201" s="13" t="s">
        <v>784</v>
      </c>
      <c r="K201" s="12" t="s">
        <v>783</v>
      </c>
      <c r="L201" t="s">
        <v>654</v>
      </c>
      <c r="M201" t="s">
        <v>785</v>
      </c>
      <c r="N201" t="str">
        <f t="shared" si="10"/>
        <v>('210','La Popa','FN_COL_LA_POPA',2,131,1),</v>
      </c>
      <c r="R201">
        <f t="shared" si="11"/>
        <v>216</v>
      </c>
    </row>
    <row r="202" spans="1:18" ht="22.5" hidden="1" x14ac:dyDescent="0.3">
      <c r="A202" s="6" t="s">
        <v>269</v>
      </c>
      <c r="B202" s="13">
        <v>218</v>
      </c>
      <c r="C202" s="13" t="s">
        <v>1296</v>
      </c>
      <c r="D202" s="6" t="s">
        <v>270</v>
      </c>
      <c r="E202">
        <v>2</v>
      </c>
      <c r="F202" s="14">
        <v>131</v>
      </c>
      <c r="G202">
        <v>1</v>
      </c>
      <c r="H202" s="13">
        <v>218</v>
      </c>
      <c r="I202">
        <f t="shared" si="9"/>
        <v>218</v>
      </c>
      <c r="J202" s="13" t="s">
        <v>784</v>
      </c>
      <c r="K202" s="12" t="s">
        <v>783</v>
      </c>
      <c r="L202" t="s">
        <v>654</v>
      </c>
      <c r="M202" t="s">
        <v>785</v>
      </c>
      <c r="N202" t="str">
        <f t="shared" si="10"/>
        <v>('218','Juan Rocha','FN_COL_JUANROCHA',2,131,1),</v>
      </c>
      <c r="R202">
        <f t="shared" si="11"/>
        <v>217</v>
      </c>
    </row>
    <row r="203" spans="1:18" ht="22.5" hidden="1" x14ac:dyDescent="0.3">
      <c r="A203" s="6" t="s">
        <v>462</v>
      </c>
      <c r="B203" s="13">
        <v>228</v>
      </c>
      <c r="C203" s="13" t="s">
        <v>1280</v>
      </c>
      <c r="D203" s="6" t="s">
        <v>461</v>
      </c>
      <c r="E203">
        <v>2</v>
      </c>
      <c r="F203" s="14">
        <v>133</v>
      </c>
      <c r="G203">
        <v>1</v>
      </c>
      <c r="H203" s="13">
        <v>228</v>
      </c>
      <c r="I203">
        <f t="shared" si="9"/>
        <v>228</v>
      </c>
      <c r="J203" s="13" t="s">
        <v>784</v>
      </c>
      <c r="K203" s="12" t="s">
        <v>783</v>
      </c>
      <c r="L203" t="s">
        <v>654</v>
      </c>
      <c r="M203" t="s">
        <v>785</v>
      </c>
      <c r="N203" t="str">
        <f t="shared" si="10"/>
        <v>('228','Zaragoza','FN_COL_ZARAGOZA',2,133,1),</v>
      </c>
      <c r="R203">
        <f t="shared" si="11"/>
        <v>218</v>
      </c>
    </row>
    <row r="204" spans="1:18" ht="22.5" hidden="1" x14ac:dyDescent="0.3">
      <c r="A204" s="6" t="s">
        <v>174</v>
      </c>
      <c r="B204" s="13">
        <v>242</v>
      </c>
      <c r="C204" s="13" t="s">
        <v>1297</v>
      </c>
      <c r="D204" s="6" t="s">
        <v>175</v>
      </c>
      <c r="E204">
        <v>2</v>
      </c>
      <c r="F204" s="14">
        <v>133</v>
      </c>
      <c r="G204">
        <v>1</v>
      </c>
      <c r="H204" s="13">
        <v>242</v>
      </c>
      <c r="I204">
        <f t="shared" si="9"/>
        <v>242</v>
      </c>
      <c r="J204" s="13" t="s">
        <v>784</v>
      </c>
      <c r="K204" s="12" t="s">
        <v>783</v>
      </c>
      <c r="L204" t="s">
        <v>654</v>
      </c>
      <c r="M204" t="s">
        <v>785</v>
      </c>
      <c r="N204" t="str">
        <f t="shared" si="10"/>
        <v>('242','Cahuite Arceo','FN_COL_CAHUI_ARCEO',2,133,1),</v>
      </c>
      <c r="R204">
        <f t="shared" si="11"/>
        <v>219</v>
      </c>
    </row>
    <row r="205" spans="1:18" ht="22.5" hidden="1" x14ac:dyDescent="0.3">
      <c r="A205" s="6" t="s">
        <v>385</v>
      </c>
      <c r="B205" s="13">
        <v>245</v>
      </c>
      <c r="C205" s="13" t="s">
        <v>1298</v>
      </c>
      <c r="D205" s="6" t="s">
        <v>386</v>
      </c>
      <c r="E205">
        <v>2</v>
      </c>
      <c r="F205" s="14">
        <v>133</v>
      </c>
      <c r="G205">
        <v>1</v>
      </c>
      <c r="H205" s="13">
        <v>245</v>
      </c>
      <c r="I205">
        <f t="shared" si="9"/>
        <v>245</v>
      </c>
      <c r="J205" s="13" t="s">
        <v>784</v>
      </c>
      <c r="K205" s="12" t="s">
        <v>783</v>
      </c>
      <c r="L205" t="s">
        <v>654</v>
      </c>
      <c r="M205" t="s">
        <v>785</v>
      </c>
      <c r="N205" t="str">
        <f t="shared" si="10"/>
        <v>('245','Parota DA','FN_COL_PAROTA_DA',2,133,1),</v>
      </c>
      <c r="R205">
        <f t="shared" si="11"/>
        <v>220</v>
      </c>
    </row>
    <row r="206" spans="1:18" ht="22.5" hidden="1" x14ac:dyDescent="0.3">
      <c r="A206" s="6" t="s">
        <v>460</v>
      </c>
      <c r="B206" s="13">
        <v>263</v>
      </c>
      <c r="C206" s="13" t="s">
        <v>1299</v>
      </c>
      <c r="D206" s="6" t="s">
        <v>461</v>
      </c>
      <c r="E206">
        <v>2</v>
      </c>
      <c r="F206" s="14">
        <v>133</v>
      </c>
      <c r="G206">
        <v>1</v>
      </c>
      <c r="H206" s="13">
        <v>263</v>
      </c>
      <c r="I206">
        <f t="shared" si="9"/>
        <v>263</v>
      </c>
      <c r="J206" s="13" t="s">
        <v>784</v>
      </c>
      <c r="K206" s="12" t="s">
        <v>783</v>
      </c>
      <c r="L206" t="s">
        <v>654</v>
      </c>
      <c r="M206" t="s">
        <v>785</v>
      </c>
      <c r="N206" t="str">
        <f t="shared" si="10"/>
        <v>('263','Nenitas','FN_COL_ZARAGOZA',2,133,1),</v>
      </c>
      <c r="R206">
        <f t="shared" si="11"/>
        <v>221</v>
      </c>
    </row>
    <row r="207" spans="1:18" ht="22.5" hidden="1" x14ac:dyDescent="0.3">
      <c r="A207" s="6" t="s">
        <v>176</v>
      </c>
      <c r="B207" s="13">
        <v>264</v>
      </c>
      <c r="C207" s="13" t="s">
        <v>1300</v>
      </c>
      <c r="D207" s="6" t="s">
        <v>175</v>
      </c>
      <c r="E207">
        <v>2</v>
      </c>
      <c r="F207" s="14">
        <v>133</v>
      </c>
      <c r="G207">
        <v>1</v>
      </c>
      <c r="H207" s="13">
        <v>264</v>
      </c>
      <c r="I207">
        <f t="shared" si="9"/>
        <v>264</v>
      </c>
      <c r="J207" s="13" t="s">
        <v>784</v>
      </c>
      <c r="K207" s="12" t="s">
        <v>783</v>
      </c>
      <c r="L207" t="s">
        <v>654</v>
      </c>
      <c r="M207" t="s">
        <v>785</v>
      </c>
      <c r="N207" t="str">
        <f t="shared" si="10"/>
        <v>('264','Coahuayana','FN_COL_CAHUI_ARCEO',2,133,1),</v>
      </c>
      <c r="R207">
        <f t="shared" si="11"/>
        <v>222</v>
      </c>
    </row>
    <row r="208" spans="1:18" ht="22.5" hidden="1" x14ac:dyDescent="0.3">
      <c r="A208" s="6" t="s">
        <v>539</v>
      </c>
      <c r="B208" s="13">
        <v>228</v>
      </c>
      <c r="C208" s="13" t="s">
        <v>1280</v>
      </c>
      <c r="D208" s="6" t="s">
        <v>461</v>
      </c>
      <c r="E208">
        <v>2</v>
      </c>
      <c r="F208" s="14">
        <v>134</v>
      </c>
      <c r="G208">
        <v>1</v>
      </c>
      <c r="H208" s="13">
        <v>228</v>
      </c>
      <c r="I208">
        <f t="shared" si="9"/>
        <v>228</v>
      </c>
      <c r="J208" s="13" t="s">
        <v>784</v>
      </c>
      <c r="K208" s="12" t="s">
        <v>783</v>
      </c>
      <c r="L208" t="s">
        <v>654</v>
      </c>
      <c r="M208" t="s">
        <v>785</v>
      </c>
      <c r="N208" t="str">
        <f t="shared" si="10"/>
        <v>('228','Zaragoza','FN_COL_ZARAGOZA',2,134,1),</v>
      </c>
      <c r="R208">
        <f t="shared" si="11"/>
        <v>223</v>
      </c>
    </row>
    <row r="209" spans="1:18" ht="22.5" hidden="1" x14ac:dyDescent="0.3">
      <c r="A209" s="6" t="s">
        <v>653</v>
      </c>
      <c r="B209" s="13">
        <v>228</v>
      </c>
      <c r="C209" s="13" t="s">
        <v>1301</v>
      </c>
      <c r="D209" s="6" t="s">
        <v>461</v>
      </c>
      <c r="E209">
        <v>2</v>
      </c>
      <c r="F209" s="14">
        <v>134</v>
      </c>
      <c r="G209">
        <v>1</v>
      </c>
      <c r="H209" s="13">
        <v>228</v>
      </c>
      <c r="I209">
        <f t="shared" si="9"/>
        <v>228</v>
      </c>
      <c r="J209" s="13" t="s">
        <v>784</v>
      </c>
      <c r="K209" s="12" t="s">
        <v>783</v>
      </c>
      <c r="L209" t="s">
        <v>654</v>
      </c>
      <c r="M209" t="s">
        <v>785</v>
      </c>
      <c r="N209" t="str">
        <f t="shared" si="10"/>
        <v>('228','Zaragoza 2','FN_COL_ZARAGOZA',2,134,1),</v>
      </c>
      <c r="R209">
        <f t="shared" si="11"/>
        <v>224</v>
      </c>
    </row>
    <row r="210" spans="1:18" ht="22.5" hidden="1" x14ac:dyDescent="0.3">
      <c r="A210" s="6" t="s">
        <v>165</v>
      </c>
      <c r="B210" s="13">
        <v>16</v>
      </c>
      <c r="C210" s="13" t="s">
        <v>1166</v>
      </c>
      <c r="D210" s="6" t="s">
        <v>164</v>
      </c>
      <c r="E210">
        <v>2</v>
      </c>
      <c r="F210" s="14">
        <v>134</v>
      </c>
      <c r="G210">
        <v>1</v>
      </c>
      <c r="H210" s="13">
        <v>16</v>
      </c>
      <c r="I210" t="str">
        <f t="shared" si="9"/>
        <v>016</v>
      </c>
      <c r="J210" s="13" t="s">
        <v>784</v>
      </c>
      <c r="K210" s="12" t="s">
        <v>783</v>
      </c>
      <c r="L210" t="s">
        <v>654</v>
      </c>
      <c r="M210" t="s">
        <v>785</v>
      </c>
      <c r="N210" t="str">
        <f t="shared" si="10"/>
        <v>('016','Aldo Bravo','FN_COL_ALDO_BRAVO',2,134,1),</v>
      </c>
      <c r="R210">
        <f t="shared" si="11"/>
        <v>225</v>
      </c>
    </row>
    <row r="211" spans="1:18" ht="22.5" hidden="1" x14ac:dyDescent="0.3">
      <c r="A211" s="6" t="s">
        <v>311</v>
      </c>
      <c r="B211" s="13">
        <v>33</v>
      </c>
      <c r="C211" s="13" t="s">
        <v>1173</v>
      </c>
      <c r="D211" s="6" t="s">
        <v>309</v>
      </c>
      <c r="E211">
        <v>2</v>
      </c>
      <c r="F211" s="14">
        <v>134</v>
      </c>
      <c r="G211">
        <v>1</v>
      </c>
      <c r="H211" s="13">
        <v>33</v>
      </c>
      <c r="I211" t="str">
        <f t="shared" si="9"/>
        <v>033</v>
      </c>
      <c r="J211" s="13" t="s">
        <v>784</v>
      </c>
      <c r="K211" s="12" t="s">
        <v>783</v>
      </c>
      <c r="L211" t="s">
        <v>654</v>
      </c>
      <c r="M211" t="s">
        <v>785</v>
      </c>
      <c r="N211" t="str">
        <f t="shared" si="10"/>
        <v>('033','Soledad','FN_COL_LA_SOLEDAD',2,134,1),</v>
      </c>
      <c r="R211">
        <f t="shared" si="11"/>
        <v>226</v>
      </c>
    </row>
    <row r="212" spans="1:18" ht="22.5" hidden="1" x14ac:dyDescent="0.3">
      <c r="A212" s="6" t="s">
        <v>348</v>
      </c>
      <c r="B212" s="13">
        <v>41</v>
      </c>
      <c r="C212" s="13" t="s">
        <v>1203</v>
      </c>
      <c r="D212" s="6" t="s">
        <v>347</v>
      </c>
      <c r="E212">
        <v>2</v>
      </c>
      <c r="F212" s="14">
        <v>134</v>
      </c>
      <c r="G212">
        <v>1</v>
      </c>
      <c r="H212" s="13">
        <v>41</v>
      </c>
      <c r="I212" t="str">
        <f t="shared" si="9"/>
        <v>041</v>
      </c>
      <c r="J212" s="13" t="s">
        <v>784</v>
      </c>
      <c r="K212" s="12" t="s">
        <v>783</v>
      </c>
      <c r="L212" t="s">
        <v>654</v>
      </c>
      <c r="M212" t="s">
        <v>785</v>
      </c>
      <c r="N212" t="str">
        <f t="shared" si="10"/>
        <v>('041','Mariana 1','FN_COL_MARIANA_1',2,134,1),</v>
      </c>
      <c r="R212">
        <f t="shared" si="11"/>
        <v>227</v>
      </c>
    </row>
    <row r="213" spans="1:18" ht="22.5" hidden="1" x14ac:dyDescent="0.3">
      <c r="A213" s="6" t="s">
        <v>285</v>
      </c>
      <c r="B213" s="13">
        <v>51</v>
      </c>
      <c r="C213" s="13" t="s">
        <v>1217</v>
      </c>
      <c r="D213" s="6" t="s">
        <v>286</v>
      </c>
      <c r="E213">
        <v>2</v>
      </c>
      <c r="F213" s="14">
        <v>134</v>
      </c>
      <c r="G213">
        <v>1</v>
      </c>
      <c r="H213" s="13">
        <v>51</v>
      </c>
      <c r="I213" t="str">
        <f t="shared" si="9"/>
        <v>051</v>
      </c>
      <c r="J213" s="13" t="s">
        <v>784</v>
      </c>
      <c r="K213" s="12" t="s">
        <v>783</v>
      </c>
      <c r="L213" t="s">
        <v>654</v>
      </c>
      <c r="M213" t="s">
        <v>785</v>
      </c>
      <c r="N213" t="str">
        <f t="shared" si="10"/>
        <v>('051','La Limonera','FN_COL_LA_LIMONERA',2,134,1),</v>
      </c>
      <c r="R213">
        <f t="shared" si="11"/>
        <v>228</v>
      </c>
    </row>
    <row r="214" spans="1:18" ht="22.5" hidden="1" x14ac:dyDescent="0.3">
      <c r="A214" s="6" t="s">
        <v>228</v>
      </c>
      <c r="B214" s="13">
        <v>53</v>
      </c>
      <c r="C214" s="13" t="s">
        <v>1213</v>
      </c>
      <c r="D214" s="6" t="s">
        <v>224</v>
      </c>
      <c r="E214">
        <v>2</v>
      </c>
      <c r="F214" s="14">
        <v>134</v>
      </c>
      <c r="G214">
        <v>1</v>
      </c>
      <c r="H214" s="13">
        <v>53</v>
      </c>
      <c r="I214" t="str">
        <f t="shared" si="9"/>
        <v>053</v>
      </c>
      <c r="J214" s="13" t="s">
        <v>784</v>
      </c>
      <c r="K214" s="12" t="s">
        <v>783</v>
      </c>
      <c r="L214" t="s">
        <v>654</v>
      </c>
      <c r="M214" t="s">
        <v>785</v>
      </c>
      <c r="N214" t="str">
        <f t="shared" si="10"/>
        <v>('053','Cahuite','FN_COL_EL_CAHUITE',2,134,1),</v>
      </c>
      <c r="R214">
        <f t="shared" si="11"/>
        <v>229</v>
      </c>
    </row>
    <row r="215" spans="1:18" ht="22.5" hidden="1" x14ac:dyDescent="0.3">
      <c r="A215" s="6" t="s">
        <v>493</v>
      </c>
      <c r="B215" s="13">
        <v>53</v>
      </c>
      <c r="C215" s="13" t="s">
        <v>1213</v>
      </c>
      <c r="D215" s="6" t="s">
        <v>224</v>
      </c>
      <c r="E215">
        <v>2</v>
      </c>
      <c r="F215" s="14">
        <v>134</v>
      </c>
      <c r="G215">
        <v>1</v>
      </c>
      <c r="H215" s="13">
        <v>53</v>
      </c>
      <c r="I215" t="str">
        <f t="shared" si="9"/>
        <v>053</v>
      </c>
      <c r="J215" s="13" t="s">
        <v>784</v>
      </c>
      <c r="K215" s="12" t="s">
        <v>783</v>
      </c>
      <c r="L215" t="s">
        <v>654</v>
      </c>
      <c r="M215" t="s">
        <v>785</v>
      </c>
      <c r="N215" t="str">
        <f t="shared" si="10"/>
        <v>('053','Cahuite','FN_COL_EL_CAHUITE',2,134,1),</v>
      </c>
      <c r="R215">
        <f t="shared" si="11"/>
        <v>230</v>
      </c>
    </row>
    <row r="216" spans="1:18" ht="22.5" hidden="1" x14ac:dyDescent="0.3">
      <c r="A216" s="6" t="s">
        <v>230</v>
      </c>
      <c r="B216" s="13">
        <v>53</v>
      </c>
      <c r="C216" s="13" t="s">
        <v>1302</v>
      </c>
      <c r="D216" s="6" t="s">
        <v>224</v>
      </c>
      <c r="E216">
        <v>2</v>
      </c>
      <c r="F216" s="14">
        <v>134</v>
      </c>
      <c r="G216">
        <v>1</v>
      </c>
      <c r="H216" s="13">
        <v>53</v>
      </c>
      <c r="I216" t="str">
        <f t="shared" si="9"/>
        <v>053</v>
      </c>
      <c r="J216" s="13" t="s">
        <v>784</v>
      </c>
      <c r="K216" s="12" t="s">
        <v>783</v>
      </c>
      <c r="L216" t="s">
        <v>654</v>
      </c>
      <c r="M216" t="s">
        <v>785</v>
      </c>
      <c r="N216" t="str">
        <f t="shared" si="10"/>
        <v>('053','Cahuite ES','FN_COL_EL_CAHUITE',2,134,1),</v>
      </c>
      <c r="R216">
        <f t="shared" si="11"/>
        <v>231</v>
      </c>
    </row>
    <row r="217" spans="1:18" ht="22.5" hidden="1" x14ac:dyDescent="0.3">
      <c r="A217" s="6" t="s">
        <v>227</v>
      </c>
      <c r="B217" s="13">
        <v>53</v>
      </c>
      <c r="C217" s="13" t="s">
        <v>1175</v>
      </c>
      <c r="D217" s="6" t="s">
        <v>224</v>
      </c>
      <c r="E217">
        <v>2</v>
      </c>
      <c r="F217" s="14">
        <v>134</v>
      </c>
      <c r="G217">
        <v>1</v>
      </c>
      <c r="H217" s="13">
        <v>53</v>
      </c>
      <c r="I217" t="str">
        <f t="shared" si="9"/>
        <v>053</v>
      </c>
      <c r="J217" s="13" t="s">
        <v>784</v>
      </c>
      <c r="K217" s="12" t="s">
        <v>783</v>
      </c>
      <c r="L217" t="s">
        <v>654</v>
      </c>
      <c r="M217" t="s">
        <v>785</v>
      </c>
      <c r="N217" t="str">
        <f t="shared" si="10"/>
        <v>('053','Cahuite Ricamp','FN_COL_EL_CAHUITE',2,134,1),</v>
      </c>
      <c r="R217">
        <f t="shared" si="11"/>
        <v>232</v>
      </c>
    </row>
    <row r="218" spans="1:18" ht="22.5" hidden="1" x14ac:dyDescent="0.3">
      <c r="A218" s="6" t="s">
        <v>223</v>
      </c>
      <c r="B218" s="13">
        <v>53</v>
      </c>
      <c r="C218" s="13" t="s">
        <v>1176</v>
      </c>
      <c r="D218" s="6" t="s">
        <v>224</v>
      </c>
      <c r="E218">
        <v>2</v>
      </c>
      <c r="F218" s="14">
        <v>134</v>
      </c>
      <c r="G218">
        <v>1</v>
      </c>
      <c r="H218" s="13">
        <v>53</v>
      </c>
      <c r="I218" t="str">
        <f t="shared" si="9"/>
        <v>053</v>
      </c>
      <c r="J218" s="13" t="s">
        <v>784</v>
      </c>
      <c r="K218" s="12" t="s">
        <v>783</v>
      </c>
      <c r="L218" t="s">
        <v>654</v>
      </c>
      <c r="M218" t="s">
        <v>785</v>
      </c>
      <c r="N218" t="str">
        <f t="shared" si="10"/>
        <v>('053','Cahuite RPC','FN_COL_EL_CAHUITE',2,134,1),</v>
      </c>
      <c r="R218">
        <f t="shared" si="11"/>
        <v>233</v>
      </c>
    </row>
    <row r="219" spans="1:18" ht="22.5" hidden="1" x14ac:dyDescent="0.3">
      <c r="A219" s="6" t="s">
        <v>229</v>
      </c>
      <c r="B219" s="13">
        <v>53</v>
      </c>
      <c r="C219" s="13" t="s">
        <v>1303</v>
      </c>
      <c r="D219" s="6" t="s">
        <v>224</v>
      </c>
      <c r="E219">
        <v>2</v>
      </c>
      <c r="F219" s="14">
        <v>134</v>
      </c>
      <c r="G219">
        <v>1</v>
      </c>
      <c r="H219" s="13">
        <v>53</v>
      </c>
      <c r="I219" t="str">
        <f t="shared" si="9"/>
        <v>053</v>
      </c>
      <c r="J219" s="13" t="s">
        <v>784</v>
      </c>
      <c r="K219" s="12" t="s">
        <v>783</v>
      </c>
      <c r="L219" t="s">
        <v>654</v>
      </c>
      <c r="M219" t="s">
        <v>785</v>
      </c>
      <c r="N219" t="str">
        <f t="shared" si="10"/>
        <v>('053','El Cahuite','FN_COL_EL_CAHUITE',2,134,1),</v>
      </c>
      <c r="R219">
        <f t="shared" si="11"/>
        <v>234</v>
      </c>
    </row>
    <row r="220" spans="1:18" ht="22.5" hidden="1" x14ac:dyDescent="0.3">
      <c r="A220" s="6" t="s">
        <v>341</v>
      </c>
      <c r="B220" s="13">
        <v>102</v>
      </c>
      <c r="C220" s="13" t="s">
        <v>1182</v>
      </c>
      <c r="D220" s="6" t="s">
        <v>342</v>
      </c>
      <c r="E220">
        <v>2</v>
      </c>
      <c r="F220" s="14">
        <v>134</v>
      </c>
      <c r="G220">
        <v>1</v>
      </c>
      <c r="H220" s="13">
        <v>102</v>
      </c>
      <c r="I220">
        <f t="shared" si="9"/>
        <v>102</v>
      </c>
      <c r="J220" s="13" t="s">
        <v>784</v>
      </c>
      <c r="K220" s="12" t="s">
        <v>783</v>
      </c>
      <c r="L220" t="s">
        <v>654</v>
      </c>
      <c r="M220" t="s">
        <v>785</v>
      </c>
      <c r="N220" t="str">
        <f t="shared" si="10"/>
        <v>('102','Manuel Leiva','FN_COL_MANUEL_LEYV',2,134,1),</v>
      </c>
      <c r="R220">
        <f t="shared" si="11"/>
        <v>235</v>
      </c>
    </row>
    <row r="221" spans="1:18" ht="22.5" hidden="1" x14ac:dyDescent="0.3">
      <c r="A221" s="6" t="s">
        <v>292</v>
      </c>
      <c r="B221" s="13">
        <v>119</v>
      </c>
      <c r="C221" s="13" t="s">
        <v>1228</v>
      </c>
      <c r="D221" s="6" t="s">
        <v>293</v>
      </c>
      <c r="E221">
        <v>2</v>
      </c>
      <c r="F221" s="14">
        <v>134</v>
      </c>
      <c r="G221">
        <v>1</v>
      </c>
      <c r="H221" s="13">
        <v>119</v>
      </c>
      <c r="I221">
        <f t="shared" si="9"/>
        <v>119</v>
      </c>
      <c r="J221" s="13" t="s">
        <v>784</v>
      </c>
      <c r="K221" s="12" t="s">
        <v>783</v>
      </c>
      <c r="L221" t="s">
        <v>654</v>
      </c>
      <c r="M221" t="s">
        <v>785</v>
      </c>
      <c r="N221" t="str">
        <f t="shared" si="10"/>
        <v>('119','La Parcela Escolar','FN_COL_LA_PARCELA',2,134,1),</v>
      </c>
      <c r="R221">
        <f t="shared" si="11"/>
        <v>236</v>
      </c>
    </row>
    <row r="222" spans="1:18" ht="22.5" hidden="1" x14ac:dyDescent="0.3">
      <c r="A222" s="6" t="s">
        <v>294</v>
      </c>
      <c r="B222" s="13">
        <v>119</v>
      </c>
      <c r="C222" s="13" t="s">
        <v>1304</v>
      </c>
      <c r="D222" s="6" t="s">
        <v>293</v>
      </c>
      <c r="E222">
        <v>2</v>
      </c>
      <c r="F222" s="14">
        <v>134</v>
      </c>
      <c r="G222">
        <v>1</v>
      </c>
      <c r="H222" s="13">
        <v>119</v>
      </c>
      <c r="I222">
        <f t="shared" si="9"/>
        <v>119</v>
      </c>
      <c r="J222" s="13" t="s">
        <v>784</v>
      </c>
      <c r="K222" s="12" t="s">
        <v>783</v>
      </c>
      <c r="L222" t="s">
        <v>654</v>
      </c>
      <c r="M222" t="s">
        <v>785</v>
      </c>
      <c r="N222" t="str">
        <f t="shared" si="10"/>
        <v>('119','La Parcela Escolar LG','FN_COL_LA_PARCELA',2,134,1),</v>
      </c>
      <c r="R222">
        <f t="shared" si="11"/>
        <v>237</v>
      </c>
    </row>
    <row r="223" spans="1:18" ht="22.5" hidden="1" x14ac:dyDescent="0.3">
      <c r="A223" s="6" t="s">
        <v>457</v>
      </c>
      <c r="B223" s="13">
        <v>125</v>
      </c>
      <c r="C223" s="13" t="s">
        <v>1229</v>
      </c>
      <c r="D223" s="6" t="s">
        <v>458</v>
      </c>
      <c r="E223">
        <v>2</v>
      </c>
      <c r="F223" s="14">
        <v>134</v>
      </c>
      <c r="G223">
        <v>1</v>
      </c>
      <c r="H223" s="13">
        <v>125</v>
      </c>
      <c r="I223">
        <f t="shared" si="9"/>
        <v>125</v>
      </c>
      <c r="J223" s="13" t="s">
        <v>784</v>
      </c>
      <c r="K223" s="12" t="s">
        <v>783</v>
      </c>
      <c r="L223" t="s">
        <v>654</v>
      </c>
      <c r="M223" t="s">
        <v>785</v>
      </c>
      <c r="N223" t="str">
        <f t="shared" si="10"/>
        <v>('125','Zapotan','FN_COL_ZAPOTAN',2,134,1),</v>
      </c>
      <c r="R223">
        <f t="shared" si="11"/>
        <v>238</v>
      </c>
    </row>
    <row r="224" spans="1:18" ht="22.5" hidden="1" x14ac:dyDescent="0.3">
      <c r="A224" s="6" t="s">
        <v>300</v>
      </c>
      <c r="B224" s="13">
        <v>173</v>
      </c>
      <c r="C224" s="13" t="s">
        <v>1265</v>
      </c>
      <c r="D224" s="6" t="s">
        <v>301</v>
      </c>
      <c r="E224">
        <v>2</v>
      </c>
      <c r="F224" s="14">
        <v>134</v>
      </c>
      <c r="G224">
        <v>1</v>
      </c>
      <c r="H224" s="13">
        <v>173</v>
      </c>
      <c r="I224">
        <f t="shared" si="9"/>
        <v>173</v>
      </c>
      <c r="J224" s="13" t="s">
        <v>784</v>
      </c>
      <c r="K224" s="12" t="s">
        <v>783</v>
      </c>
      <c r="L224" t="s">
        <v>654</v>
      </c>
      <c r="M224" t="s">
        <v>785</v>
      </c>
      <c r="N224" t="str">
        <f t="shared" si="10"/>
        <v>('173','La Playa UE','FN_COL_LA_PLAYA_UL',2,134,1),</v>
      </c>
      <c r="R224">
        <f t="shared" si="11"/>
        <v>239</v>
      </c>
    </row>
    <row r="225" spans="1:18" ht="22.5" hidden="1" x14ac:dyDescent="0.3">
      <c r="A225" s="6" t="s">
        <v>240</v>
      </c>
      <c r="B225" s="13">
        <v>185</v>
      </c>
      <c r="C225" s="13" t="s">
        <v>1187</v>
      </c>
      <c r="D225" s="6" t="s">
        <v>241</v>
      </c>
      <c r="E225">
        <v>2</v>
      </c>
      <c r="F225" s="14">
        <v>134</v>
      </c>
      <c r="G225">
        <v>1</v>
      </c>
      <c r="H225" s="13">
        <v>185</v>
      </c>
      <c r="I225">
        <f t="shared" si="9"/>
        <v>185</v>
      </c>
      <c r="J225" s="13" t="s">
        <v>784</v>
      </c>
      <c r="K225" s="12" t="s">
        <v>783</v>
      </c>
      <c r="L225" t="s">
        <v>654</v>
      </c>
      <c r="M225" t="s">
        <v>785</v>
      </c>
      <c r="N225" t="str">
        <f t="shared" si="10"/>
        <v>('185','El Sueño','FN_COL_EL_SUENO',2,134,1),</v>
      </c>
      <c r="R225">
        <f t="shared" si="11"/>
        <v>240</v>
      </c>
    </row>
    <row r="226" spans="1:18" ht="22.5" hidden="1" x14ac:dyDescent="0.3">
      <c r="A226" s="6" t="s">
        <v>518</v>
      </c>
      <c r="B226" s="13">
        <v>210</v>
      </c>
      <c r="C226" s="13" t="s">
        <v>1231</v>
      </c>
      <c r="D226" s="6" t="s">
        <v>306</v>
      </c>
      <c r="E226">
        <v>2</v>
      </c>
      <c r="F226" s="14">
        <v>134</v>
      </c>
      <c r="G226">
        <v>1</v>
      </c>
      <c r="H226" s="13">
        <v>210</v>
      </c>
      <c r="I226">
        <f t="shared" si="9"/>
        <v>210</v>
      </c>
      <c r="J226" s="13" t="s">
        <v>784</v>
      </c>
      <c r="K226" s="12" t="s">
        <v>783</v>
      </c>
      <c r="L226" t="s">
        <v>654</v>
      </c>
      <c r="M226" t="s">
        <v>785</v>
      </c>
      <c r="N226" t="str">
        <f t="shared" si="10"/>
        <v>('210','La Popa','FN_COL_LA_POPA',2,134,1),</v>
      </c>
      <c r="R226">
        <f t="shared" si="11"/>
        <v>241</v>
      </c>
    </row>
    <row r="227" spans="1:18" ht="22.5" hidden="1" x14ac:dyDescent="0.3">
      <c r="A227" s="6" t="s">
        <v>409</v>
      </c>
      <c r="B227" s="13">
        <v>211</v>
      </c>
      <c r="C227" s="13" t="s">
        <v>1268</v>
      </c>
      <c r="D227" s="6" t="s">
        <v>410</v>
      </c>
      <c r="E227">
        <v>2</v>
      </c>
      <c r="F227" s="14">
        <v>134</v>
      </c>
      <c r="G227">
        <v>1</v>
      </c>
      <c r="H227" s="13">
        <v>211</v>
      </c>
      <c r="I227">
        <f t="shared" si="9"/>
        <v>211</v>
      </c>
      <c r="J227" s="13" t="s">
        <v>784</v>
      </c>
      <c r="K227" s="12" t="s">
        <v>783</v>
      </c>
      <c r="L227" t="s">
        <v>654</v>
      </c>
      <c r="M227" t="s">
        <v>785</v>
      </c>
      <c r="N227" t="str">
        <f t="shared" si="10"/>
        <v>('211','San Miguel Ojo de Agua','FN_COL_SAN_MIGUEL',2,134,1),</v>
      </c>
      <c r="R227">
        <f t="shared" si="11"/>
        <v>242</v>
      </c>
    </row>
    <row r="228" spans="1:18" ht="22.5" hidden="1" x14ac:dyDescent="0.3">
      <c r="A228" s="6" t="s">
        <v>235</v>
      </c>
      <c r="B228" s="13">
        <v>214</v>
      </c>
      <c r="C228" s="13" t="s">
        <v>1191</v>
      </c>
      <c r="D228" s="6" t="s">
        <v>234</v>
      </c>
      <c r="E228">
        <v>2</v>
      </c>
      <c r="F228" s="14">
        <v>134</v>
      </c>
      <c r="G228">
        <v>1</v>
      </c>
      <c r="H228" s="13">
        <v>214</v>
      </c>
      <c r="I228">
        <f t="shared" si="9"/>
        <v>214</v>
      </c>
      <c r="J228" s="13" t="s">
        <v>784</v>
      </c>
      <c r="K228" s="12" t="s">
        <v>783</v>
      </c>
      <c r="L228" t="s">
        <v>654</v>
      </c>
      <c r="M228" t="s">
        <v>785</v>
      </c>
      <c r="N228" t="str">
        <f t="shared" si="10"/>
        <v>('214','El Minuto','FN_COL_EL_MINUTO',2,134,1),</v>
      </c>
      <c r="R228">
        <f t="shared" si="11"/>
        <v>243</v>
      </c>
    </row>
    <row r="229" spans="1:18" ht="22.5" hidden="1" x14ac:dyDescent="0.3">
      <c r="A229" s="6" t="s">
        <v>539</v>
      </c>
      <c r="B229" s="13">
        <v>228</v>
      </c>
      <c r="C229" s="13" t="s">
        <v>1280</v>
      </c>
      <c r="D229" s="6" t="s">
        <v>461</v>
      </c>
      <c r="E229">
        <v>2</v>
      </c>
      <c r="F229" s="14">
        <v>134</v>
      </c>
      <c r="G229">
        <v>1</v>
      </c>
      <c r="H229" s="13">
        <v>228</v>
      </c>
      <c r="I229">
        <f t="shared" si="9"/>
        <v>228</v>
      </c>
      <c r="J229" s="13" t="s">
        <v>784</v>
      </c>
      <c r="K229" s="12" t="s">
        <v>783</v>
      </c>
      <c r="L229" t="s">
        <v>654</v>
      </c>
      <c r="M229" t="s">
        <v>785</v>
      </c>
      <c r="N229" t="str">
        <f t="shared" si="10"/>
        <v>('228','Zaragoza','FN_COL_ZARAGOZA',2,134,1),</v>
      </c>
      <c r="R229">
        <f t="shared" si="11"/>
        <v>244</v>
      </c>
    </row>
    <row r="230" spans="1:18" ht="22.5" hidden="1" x14ac:dyDescent="0.3">
      <c r="A230" s="6" t="s">
        <v>243</v>
      </c>
      <c r="B230" s="13">
        <v>238</v>
      </c>
      <c r="C230" s="13" t="s">
        <v>1305</v>
      </c>
      <c r="D230" s="6" t="s">
        <v>244</v>
      </c>
      <c r="E230">
        <v>2</v>
      </c>
      <c r="F230" s="14">
        <v>134</v>
      </c>
      <c r="G230">
        <v>1</v>
      </c>
      <c r="H230" s="13">
        <v>238</v>
      </c>
      <c r="I230">
        <f t="shared" si="9"/>
        <v>238</v>
      </c>
      <c r="J230" s="13" t="s">
        <v>784</v>
      </c>
      <c r="K230" s="12" t="s">
        <v>783</v>
      </c>
      <c r="L230" t="s">
        <v>654</v>
      </c>
      <c r="M230" t="s">
        <v>785</v>
      </c>
      <c r="N230" t="str">
        <f t="shared" si="10"/>
        <v>('238','Empaque Moreno','FN_COL_EMPAQUE_MOR',2,134,1),</v>
      </c>
      <c r="R230">
        <f t="shared" si="11"/>
        <v>245</v>
      </c>
    </row>
    <row r="231" spans="1:18" ht="22.5" hidden="1" x14ac:dyDescent="0.3">
      <c r="A231" s="6" t="s">
        <v>265</v>
      </c>
      <c r="B231" s="13">
        <v>240</v>
      </c>
      <c r="C231" s="13" t="s">
        <v>1306</v>
      </c>
      <c r="D231" s="6" t="s">
        <v>266</v>
      </c>
      <c r="E231">
        <v>2</v>
      </c>
      <c r="F231" s="14">
        <v>134</v>
      </c>
      <c r="G231">
        <v>1</v>
      </c>
      <c r="H231" s="13">
        <v>240</v>
      </c>
      <c r="I231">
        <f t="shared" si="9"/>
        <v>240</v>
      </c>
      <c r="J231" s="13" t="s">
        <v>784</v>
      </c>
      <c r="K231" s="12" t="s">
        <v>783</v>
      </c>
      <c r="L231" t="s">
        <v>654</v>
      </c>
      <c r="M231" t="s">
        <v>785</v>
      </c>
      <c r="N231" t="str">
        <f t="shared" si="10"/>
        <v>('240','Javier Leyva','FN_COL_JLEYVA',2,134,1),</v>
      </c>
      <c r="R231">
        <f t="shared" si="11"/>
        <v>246</v>
      </c>
    </row>
    <row r="232" spans="1:18" ht="22.5" hidden="1" x14ac:dyDescent="0.3">
      <c r="A232" s="6" t="s">
        <v>540</v>
      </c>
      <c r="B232" s="13">
        <v>248</v>
      </c>
      <c r="C232" s="13" t="s">
        <v>1307</v>
      </c>
      <c r="D232" s="6" t="s">
        <v>151</v>
      </c>
      <c r="E232">
        <v>2</v>
      </c>
      <c r="F232" s="14">
        <v>134</v>
      </c>
      <c r="G232">
        <v>1</v>
      </c>
      <c r="H232" s="13">
        <v>248</v>
      </c>
      <c r="I232">
        <f t="shared" si="9"/>
        <v>248</v>
      </c>
      <c r="J232" s="13" t="s">
        <v>784</v>
      </c>
      <c r="K232" s="12" t="s">
        <v>783</v>
      </c>
      <c r="L232" t="s">
        <v>654</v>
      </c>
      <c r="M232" t="s">
        <v>785</v>
      </c>
      <c r="N232" t="str">
        <f t="shared" si="10"/>
        <v>('248','La Escolar','FN_CO_LAESCOLAR_JR',2,134,1),</v>
      </c>
      <c r="R232">
        <f t="shared" si="11"/>
        <v>247</v>
      </c>
    </row>
    <row r="233" spans="1:18" ht="22.5" hidden="1" x14ac:dyDescent="0.3">
      <c r="A233" s="6" t="s">
        <v>152</v>
      </c>
      <c r="B233" s="13">
        <v>248</v>
      </c>
      <c r="C233" s="13" t="s">
        <v>1196</v>
      </c>
      <c r="D233" s="6" t="s">
        <v>151</v>
      </c>
      <c r="E233">
        <v>2</v>
      </c>
      <c r="F233" s="14">
        <v>134</v>
      </c>
      <c r="G233">
        <v>1</v>
      </c>
      <c r="H233" s="13">
        <v>248</v>
      </c>
      <c r="I233">
        <f t="shared" si="9"/>
        <v>248</v>
      </c>
      <c r="J233" s="13" t="s">
        <v>784</v>
      </c>
      <c r="K233" s="12" t="s">
        <v>783</v>
      </c>
      <c r="L233" t="s">
        <v>654</v>
      </c>
      <c r="M233" t="s">
        <v>785</v>
      </c>
      <c r="N233" t="str">
        <f t="shared" si="10"/>
        <v>('248','La Escolar JR','FN_CO_LAESCOLAR_JR',2,134,1),</v>
      </c>
      <c r="R233">
        <f t="shared" si="11"/>
        <v>248</v>
      </c>
    </row>
    <row r="234" spans="1:18" ht="22.5" hidden="1" x14ac:dyDescent="0.3">
      <c r="A234" s="6" t="s">
        <v>387</v>
      </c>
      <c r="B234" s="13">
        <v>249</v>
      </c>
      <c r="C234" s="13" t="s">
        <v>1308</v>
      </c>
      <c r="D234" s="6" t="s">
        <v>388</v>
      </c>
      <c r="E234">
        <v>2</v>
      </c>
      <c r="F234" s="14">
        <v>134</v>
      </c>
      <c r="G234">
        <v>1</v>
      </c>
      <c r="H234" s="13">
        <v>249</v>
      </c>
      <c r="I234">
        <f t="shared" si="9"/>
        <v>249</v>
      </c>
      <c r="J234" s="13" t="s">
        <v>784</v>
      </c>
      <c r="K234" s="12" t="s">
        <v>783</v>
      </c>
      <c r="L234" t="s">
        <v>654</v>
      </c>
      <c r="M234" t="s">
        <v>785</v>
      </c>
      <c r="N234" t="str">
        <f t="shared" si="10"/>
        <v>('249','Parotas JG','FN_COL_PAROTAS_JG',2,134,1),</v>
      </c>
      <c r="R234">
        <f t="shared" si="11"/>
        <v>249</v>
      </c>
    </row>
    <row r="235" spans="1:18" ht="22.5" hidden="1" x14ac:dyDescent="0.3">
      <c r="A235" s="6" t="s">
        <v>344</v>
      </c>
      <c r="B235" s="13">
        <v>257</v>
      </c>
      <c r="C235" s="13" t="s">
        <v>1309</v>
      </c>
      <c r="D235" s="6" t="s">
        <v>345</v>
      </c>
      <c r="E235">
        <v>2</v>
      </c>
      <c r="F235" s="14">
        <v>134</v>
      </c>
      <c r="G235">
        <v>1</v>
      </c>
      <c r="H235" s="13">
        <v>257</v>
      </c>
      <c r="I235">
        <f t="shared" si="9"/>
        <v>257</v>
      </c>
      <c r="J235" s="13" t="s">
        <v>784</v>
      </c>
      <c r="K235" s="12" t="s">
        <v>783</v>
      </c>
      <c r="L235" t="s">
        <v>654</v>
      </c>
      <c r="M235" t="s">
        <v>785</v>
      </c>
      <c r="N235" t="str">
        <f t="shared" si="10"/>
        <v>('257','Mariachi','FN_COL_MARIACHI',2,134,1),</v>
      </c>
      <c r="R235">
        <f t="shared" si="11"/>
        <v>250</v>
      </c>
    </row>
    <row r="236" spans="1:18" ht="22.5" hidden="1" x14ac:dyDescent="0.3">
      <c r="A236" s="6" t="s">
        <v>361</v>
      </c>
      <c r="B236" s="13">
        <v>258</v>
      </c>
      <c r="C236" s="13" t="s">
        <v>1198</v>
      </c>
      <c r="D236" s="6" t="s">
        <v>362</v>
      </c>
      <c r="E236">
        <v>2</v>
      </c>
      <c r="F236" s="14">
        <v>134</v>
      </c>
      <c r="G236">
        <v>1</v>
      </c>
      <c r="H236" s="13">
        <v>258</v>
      </c>
      <c r="I236">
        <f t="shared" si="9"/>
        <v>258</v>
      </c>
      <c r="J236" s="13" t="s">
        <v>784</v>
      </c>
      <c r="K236" s="12" t="s">
        <v>783</v>
      </c>
      <c r="L236" t="s">
        <v>654</v>
      </c>
      <c r="M236" t="s">
        <v>785</v>
      </c>
      <c r="N236" t="str">
        <f t="shared" si="10"/>
        <v>('258','Moctezuma JG','FN_COL_MOCTEZUMA',2,134,1),</v>
      </c>
      <c r="R236">
        <f t="shared" si="11"/>
        <v>251</v>
      </c>
    </row>
    <row r="237" spans="1:18" ht="22.5" hidden="1" x14ac:dyDescent="0.3">
      <c r="A237" s="6" t="s">
        <v>402</v>
      </c>
      <c r="B237" s="13">
        <v>260</v>
      </c>
      <c r="C237" s="13" t="s">
        <v>1310</v>
      </c>
      <c r="D237" s="6" t="s">
        <v>403</v>
      </c>
      <c r="E237">
        <v>2</v>
      </c>
      <c r="F237" s="14">
        <v>134</v>
      </c>
      <c r="G237">
        <v>1</v>
      </c>
      <c r="H237" s="13">
        <v>260</v>
      </c>
      <c r="I237">
        <f t="shared" si="9"/>
        <v>260</v>
      </c>
      <c r="J237" s="13" t="s">
        <v>784</v>
      </c>
      <c r="K237" s="12" t="s">
        <v>783</v>
      </c>
      <c r="L237" t="s">
        <v>654</v>
      </c>
      <c r="M237" t="s">
        <v>785</v>
      </c>
      <c r="N237" t="str">
        <f t="shared" si="10"/>
        <v>('260','Ruben Bravo JG','FN_COL_RUBENBRAV',2,134,1),</v>
      </c>
      <c r="R237">
        <f t="shared" si="11"/>
        <v>252</v>
      </c>
    </row>
    <row r="238" spans="1:18" ht="22.5" hidden="1" x14ac:dyDescent="0.3">
      <c r="A238" s="6" t="s">
        <v>404</v>
      </c>
      <c r="B238" s="13">
        <v>261</v>
      </c>
      <c r="C238" s="13" t="s">
        <v>1310</v>
      </c>
      <c r="D238" s="6" t="s">
        <v>403</v>
      </c>
      <c r="E238">
        <v>2</v>
      </c>
      <c r="F238" s="14">
        <v>134</v>
      </c>
      <c r="G238">
        <v>1</v>
      </c>
      <c r="H238" s="13">
        <v>261</v>
      </c>
      <c r="I238">
        <f t="shared" si="9"/>
        <v>261</v>
      </c>
      <c r="J238" s="13" t="s">
        <v>784</v>
      </c>
      <c r="K238" s="12" t="s">
        <v>783</v>
      </c>
      <c r="L238" t="s">
        <v>654</v>
      </c>
      <c r="M238" t="s">
        <v>785</v>
      </c>
      <c r="N238" t="str">
        <f t="shared" si="10"/>
        <v>('261','Ruben Bravo JG','FN_COL_RUBENBRAV',2,134,1),</v>
      </c>
      <c r="R238">
        <f t="shared" si="11"/>
        <v>253</v>
      </c>
    </row>
    <row r="239" spans="1:18" ht="22.5" hidden="1" x14ac:dyDescent="0.3">
      <c r="A239" s="6" t="s">
        <v>314</v>
      </c>
      <c r="B239" s="13">
        <v>265</v>
      </c>
      <c r="C239" s="13" t="s">
        <v>1311</v>
      </c>
      <c r="D239" s="6" t="s">
        <v>315</v>
      </c>
      <c r="E239">
        <v>2</v>
      </c>
      <c r="F239" s="14">
        <v>134</v>
      </c>
      <c r="G239">
        <v>1</v>
      </c>
      <c r="H239" s="13">
        <v>265</v>
      </c>
      <c r="I239">
        <f t="shared" si="9"/>
        <v>265</v>
      </c>
      <c r="J239" s="13" t="s">
        <v>784</v>
      </c>
      <c r="K239" s="12" t="s">
        <v>783</v>
      </c>
      <c r="L239" t="s">
        <v>654</v>
      </c>
      <c r="M239" t="s">
        <v>785</v>
      </c>
      <c r="N239" t="str">
        <f t="shared" si="10"/>
        <v>('265','Laguna JG','FN_COL_LAGUNAJG',2,134,1),</v>
      </c>
      <c r="R239">
        <f t="shared" si="11"/>
        <v>254</v>
      </c>
    </row>
    <row r="240" spans="1:18" ht="22.5" hidden="1" x14ac:dyDescent="0.3">
      <c r="A240" s="6" t="s">
        <v>255</v>
      </c>
      <c r="B240" s="13">
        <v>267</v>
      </c>
      <c r="C240" s="13" t="s">
        <v>1272</v>
      </c>
      <c r="D240" s="6" t="s">
        <v>256</v>
      </c>
      <c r="E240">
        <v>2</v>
      </c>
      <c r="F240" s="14">
        <v>134</v>
      </c>
      <c r="G240">
        <v>1</v>
      </c>
      <c r="H240" s="13">
        <v>267</v>
      </c>
      <c r="I240">
        <f t="shared" si="9"/>
        <v>267</v>
      </c>
      <c r="J240" s="13" t="s">
        <v>784</v>
      </c>
      <c r="K240" s="12" t="s">
        <v>783</v>
      </c>
      <c r="L240" t="s">
        <v>654</v>
      </c>
      <c r="M240" t="s">
        <v>785</v>
      </c>
      <c r="N240" t="str">
        <f t="shared" si="10"/>
        <v>('267','La Hermita','FN_COL_HERMITA',2,134,1),</v>
      </c>
      <c r="R240">
        <f t="shared" si="11"/>
        <v>255</v>
      </c>
    </row>
    <row r="241" spans="1:18" ht="22.5" hidden="1" x14ac:dyDescent="0.3">
      <c r="A241" s="6" t="s">
        <v>396</v>
      </c>
      <c r="B241" s="13">
        <v>268</v>
      </c>
      <c r="C241" s="13" t="s">
        <v>1312</v>
      </c>
      <c r="D241" s="6" t="s">
        <v>397</v>
      </c>
      <c r="E241">
        <v>2</v>
      </c>
      <c r="F241" s="14">
        <v>134</v>
      </c>
      <c r="G241">
        <v>1</v>
      </c>
      <c r="H241" s="13">
        <v>268</v>
      </c>
      <c r="I241">
        <f t="shared" si="9"/>
        <v>268</v>
      </c>
      <c r="J241" s="13" t="s">
        <v>784</v>
      </c>
      <c r="K241" s="12" t="s">
        <v>783</v>
      </c>
      <c r="L241" t="s">
        <v>654</v>
      </c>
      <c r="M241" t="s">
        <v>785</v>
      </c>
      <c r="N241" t="str">
        <f t="shared" si="10"/>
        <v>('268','Raulin','FN_COL_RAULIN',2,134,1),</v>
      </c>
      <c r="R241">
        <f t="shared" si="11"/>
        <v>256</v>
      </c>
    </row>
    <row r="242" spans="1:18" ht="22.5" hidden="1" x14ac:dyDescent="0.3">
      <c r="A242" s="6" t="s">
        <v>191</v>
      </c>
      <c r="B242" s="13">
        <v>270</v>
      </c>
      <c r="C242" s="13" t="s">
        <v>1313</v>
      </c>
      <c r="D242" s="6" t="s">
        <v>192</v>
      </c>
      <c r="E242">
        <v>2</v>
      </c>
      <c r="F242" s="14">
        <v>134</v>
      </c>
      <c r="G242">
        <v>1</v>
      </c>
      <c r="H242" s="13">
        <v>270</v>
      </c>
      <c r="I242">
        <f t="shared" si="9"/>
        <v>270</v>
      </c>
      <c r="J242" s="13" t="s">
        <v>784</v>
      </c>
      <c r="K242" s="12" t="s">
        <v>783</v>
      </c>
      <c r="L242" t="s">
        <v>654</v>
      </c>
      <c r="M242" t="s">
        <v>785</v>
      </c>
      <c r="N242" t="str">
        <f t="shared" si="10"/>
        <v>('270','Cerrito de aguilar','FN_COL_CERRITO',2,134,1),</v>
      </c>
      <c r="R242">
        <f t="shared" si="11"/>
        <v>257</v>
      </c>
    </row>
    <row r="243" spans="1:18" ht="22.5" hidden="1" x14ac:dyDescent="0.3">
      <c r="A243" s="6" t="s">
        <v>179</v>
      </c>
      <c r="B243" s="13">
        <v>273</v>
      </c>
      <c r="C243" s="13" t="s">
        <v>1314</v>
      </c>
      <c r="D243" s="6" t="s">
        <v>180</v>
      </c>
      <c r="E243">
        <v>2</v>
      </c>
      <c r="F243" s="14">
        <v>134</v>
      </c>
      <c r="G243">
        <v>1</v>
      </c>
      <c r="H243" s="13">
        <v>273</v>
      </c>
      <c r="I243">
        <f t="shared" si="9"/>
        <v>273</v>
      </c>
      <c r="J243" s="13" t="s">
        <v>784</v>
      </c>
      <c r="K243" s="12" t="s">
        <v>783</v>
      </c>
      <c r="L243" t="s">
        <v>654</v>
      </c>
      <c r="M243" t="s">
        <v>785</v>
      </c>
      <c r="N243" t="str">
        <f t="shared" si="10"/>
        <v>('273','Caleras Moreno','FN_COL_CALERAS',2,134,1),</v>
      </c>
      <c r="R243">
        <f t="shared" si="11"/>
        <v>258</v>
      </c>
    </row>
    <row r="244" spans="1:18" ht="22.5" hidden="1" x14ac:dyDescent="0.3">
      <c r="A244" s="6" t="s">
        <v>236</v>
      </c>
      <c r="B244" s="13">
        <v>275</v>
      </c>
      <c r="C244" s="13" t="s">
        <v>1315</v>
      </c>
      <c r="D244" s="6" t="s">
        <v>237</v>
      </c>
      <c r="E244">
        <v>2</v>
      </c>
      <c r="F244" s="14">
        <v>134</v>
      </c>
      <c r="G244">
        <v>1</v>
      </c>
      <c r="H244" s="13">
        <v>275</v>
      </c>
      <c r="I244">
        <f t="shared" si="9"/>
        <v>275</v>
      </c>
      <c r="J244" s="13" t="s">
        <v>784</v>
      </c>
      <c r="K244" s="12" t="s">
        <v>783</v>
      </c>
      <c r="L244" t="s">
        <v>654</v>
      </c>
      <c r="M244" t="s">
        <v>785</v>
      </c>
      <c r="N244" t="str">
        <f t="shared" si="10"/>
        <v>('275','Ticuiz al Ogro JG','FN_COL_EL_OGRO',2,134,1),</v>
      </c>
      <c r="R244">
        <f t="shared" si="11"/>
        <v>259</v>
      </c>
    </row>
    <row r="245" spans="1:18" ht="22.5" hidden="1" x14ac:dyDescent="0.3">
      <c r="A245" s="6" t="s">
        <v>208</v>
      </c>
      <c r="B245" s="13">
        <v>278</v>
      </c>
      <c r="C245" s="13" t="s">
        <v>1316</v>
      </c>
      <c r="D245" s="6" t="s">
        <v>209</v>
      </c>
      <c r="E245">
        <v>2</v>
      </c>
      <c r="F245" s="14">
        <v>134</v>
      </c>
      <c r="G245">
        <v>1</v>
      </c>
      <c r="H245" s="13">
        <v>278</v>
      </c>
      <c r="I245">
        <f t="shared" si="9"/>
        <v>278</v>
      </c>
      <c r="J245" s="13" t="s">
        <v>784</v>
      </c>
      <c r="K245" s="12" t="s">
        <v>783</v>
      </c>
      <c r="L245" t="s">
        <v>654</v>
      </c>
      <c r="M245" t="s">
        <v>785</v>
      </c>
      <c r="N245" t="str">
        <f t="shared" si="10"/>
        <v>('278','Crucero del Ticuiz','FN_COL_CRUCEROTIQ',2,134,1),</v>
      </c>
      <c r="R245">
        <f t="shared" si="11"/>
        <v>260</v>
      </c>
    </row>
    <row r="246" spans="1:18" ht="22.5" hidden="1" x14ac:dyDescent="0.3">
      <c r="A246" s="6" t="s">
        <v>166</v>
      </c>
      <c r="B246" s="13">
        <v>279</v>
      </c>
      <c r="C246" s="13" t="s">
        <v>1317</v>
      </c>
      <c r="D246" s="6" t="s">
        <v>167</v>
      </c>
      <c r="E246">
        <v>2</v>
      </c>
      <c r="F246" s="14">
        <v>134</v>
      </c>
      <c r="G246">
        <v>1</v>
      </c>
      <c r="H246" s="13">
        <v>279</v>
      </c>
      <c r="I246">
        <f t="shared" si="9"/>
        <v>279</v>
      </c>
      <c r="J246" s="13" t="s">
        <v>784</v>
      </c>
      <c r="K246" s="12" t="s">
        <v>783</v>
      </c>
      <c r="L246" t="s">
        <v>654</v>
      </c>
      <c r="M246" t="s">
        <v>785</v>
      </c>
      <c r="N246" t="str">
        <f t="shared" si="10"/>
        <v>('279','Las animas','FN_COL_ANIMAS',2,134,1),</v>
      </c>
      <c r="R246">
        <f t="shared" si="11"/>
        <v>261</v>
      </c>
    </row>
    <row r="247" spans="1:18" ht="22.5" hidden="1" x14ac:dyDescent="0.3">
      <c r="A247" s="6" t="s">
        <v>500</v>
      </c>
      <c r="B247" s="13">
        <v>287</v>
      </c>
      <c r="C247" s="13" t="s">
        <v>1201</v>
      </c>
      <c r="D247" s="6" t="s">
        <v>501</v>
      </c>
      <c r="E247">
        <v>2</v>
      </c>
      <c r="F247" s="14">
        <v>134</v>
      </c>
      <c r="G247">
        <v>1</v>
      </c>
      <c r="H247" s="13">
        <v>287</v>
      </c>
      <c r="I247">
        <f t="shared" si="9"/>
        <v>287</v>
      </c>
      <c r="J247" s="13" t="s">
        <v>784</v>
      </c>
      <c r="K247" s="12" t="s">
        <v>783</v>
      </c>
      <c r="L247" t="s">
        <v>654</v>
      </c>
      <c r="M247" t="s">
        <v>785</v>
      </c>
      <c r="N247" t="str">
        <f t="shared" si="10"/>
        <v>('287','El Pilar','FN_COL_PILAR',2,134,1),</v>
      </c>
      <c r="R247">
        <f t="shared" si="11"/>
        <v>262</v>
      </c>
    </row>
    <row r="248" spans="1:18" ht="22.5" hidden="1" x14ac:dyDescent="0.3">
      <c r="A248" s="6" t="s">
        <v>545</v>
      </c>
      <c r="B248" s="13">
        <v>288</v>
      </c>
      <c r="C248" s="13" t="s">
        <v>1251</v>
      </c>
      <c r="D248" s="6" t="s">
        <v>503</v>
      </c>
      <c r="E248">
        <v>2</v>
      </c>
      <c r="F248" s="14">
        <v>134</v>
      </c>
      <c r="G248">
        <v>1</v>
      </c>
      <c r="H248" s="13">
        <v>288</v>
      </c>
      <c r="I248">
        <f t="shared" si="9"/>
        <v>288</v>
      </c>
      <c r="J248" s="13" t="s">
        <v>784</v>
      </c>
      <c r="K248" s="12" t="s">
        <v>783</v>
      </c>
      <c r="L248" t="s">
        <v>654</v>
      </c>
      <c r="M248" t="s">
        <v>785</v>
      </c>
      <c r="N248" t="str">
        <f t="shared" si="10"/>
        <v>('288','El Rastro','FN_COL_RASTRO',2,134,1),</v>
      </c>
      <c r="R248">
        <f t="shared" si="11"/>
        <v>263</v>
      </c>
    </row>
    <row r="249" spans="1:18" ht="22.5" hidden="1" x14ac:dyDescent="0.3">
      <c r="A249" s="6" t="s">
        <v>546</v>
      </c>
      <c r="B249" s="13">
        <v>290</v>
      </c>
      <c r="C249" s="13" t="s">
        <v>1318</v>
      </c>
      <c r="D249" s="6" t="s">
        <v>547</v>
      </c>
      <c r="E249">
        <v>2</v>
      </c>
      <c r="F249" s="14">
        <v>134</v>
      </c>
      <c r="G249">
        <v>1</v>
      </c>
      <c r="H249" s="13">
        <v>290</v>
      </c>
      <c r="I249">
        <f t="shared" si="9"/>
        <v>290</v>
      </c>
      <c r="J249" s="13" t="s">
        <v>784</v>
      </c>
      <c r="K249" s="12" t="s">
        <v>783</v>
      </c>
      <c r="L249" t="s">
        <v>654</v>
      </c>
      <c r="M249" t="s">
        <v>785</v>
      </c>
      <c r="N249" t="str">
        <f t="shared" si="10"/>
        <v>('290','Los Patios','FN_COL_PATIOS',2,134,1),</v>
      </c>
      <c r="R249">
        <f t="shared" si="11"/>
        <v>264</v>
      </c>
    </row>
    <row r="250" spans="1:18" ht="22.5" hidden="1" x14ac:dyDescent="0.3">
      <c r="A250" s="6" t="s">
        <v>202</v>
      </c>
      <c r="B250" s="13">
        <v>39</v>
      </c>
      <c r="C250" s="13" t="s">
        <v>1319</v>
      </c>
      <c r="D250" s="6" t="s">
        <v>201</v>
      </c>
      <c r="E250">
        <v>2</v>
      </c>
      <c r="F250" s="14">
        <v>135</v>
      </c>
      <c r="G250">
        <v>1</v>
      </c>
      <c r="H250" s="13">
        <v>39</v>
      </c>
      <c r="I250" t="str">
        <f t="shared" si="9"/>
        <v>039</v>
      </c>
      <c r="J250" s="13" t="s">
        <v>784</v>
      </c>
      <c r="K250" s="12" t="s">
        <v>783</v>
      </c>
      <c r="L250" t="s">
        <v>654</v>
      </c>
      <c r="M250" t="s">
        <v>785</v>
      </c>
      <c r="N250" t="str">
        <f t="shared" si="10"/>
        <v>('039','Cofradia','FN_COL_COFRADIA',2,135,1),</v>
      </c>
      <c r="R250">
        <f t="shared" si="11"/>
        <v>265</v>
      </c>
    </row>
    <row r="251" spans="1:18" ht="22.5" hidden="1" x14ac:dyDescent="0.3">
      <c r="A251" s="6" t="s">
        <v>499</v>
      </c>
      <c r="B251" s="13">
        <v>39</v>
      </c>
      <c r="C251" s="13" t="s">
        <v>1320</v>
      </c>
      <c r="D251" s="6" t="s">
        <v>201</v>
      </c>
      <c r="E251">
        <v>2</v>
      </c>
      <c r="F251" s="14">
        <v>135</v>
      </c>
      <c r="G251">
        <v>1</v>
      </c>
      <c r="H251" s="13">
        <v>39</v>
      </c>
      <c r="I251" t="str">
        <f t="shared" si="9"/>
        <v>039</v>
      </c>
      <c r="J251" s="13" t="s">
        <v>784</v>
      </c>
      <c r="K251" s="12" t="s">
        <v>783</v>
      </c>
      <c r="L251" t="s">
        <v>654</v>
      </c>
      <c r="M251" t="s">
        <v>785</v>
      </c>
      <c r="N251" t="str">
        <f t="shared" si="10"/>
        <v>('039','Cofradía','FN_COL_COFRADIA',2,135,1),</v>
      </c>
      <c r="R251">
        <f t="shared" si="11"/>
        <v>266</v>
      </c>
    </row>
    <row r="252" spans="1:18" ht="22.5" hidden="1" x14ac:dyDescent="0.3">
      <c r="A252" s="6" t="s">
        <v>489</v>
      </c>
      <c r="B252" s="13">
        <v>41</v>
      </c>
      <c r="C252" s="13" t="s">
        <v>1203</v>
      </c>
      <c r="D252" s="6" t="s">
        <v>347</v>
      </c>
      <c r="E252">
        <v>2</v>
      </c>
      <c r="F252" s="14">
        <v>135</v>
      </c>
      <c r="G252">
        <v>1</v>
      </c>
      <c r="H252" s="13">
        <v>41</v>
      </c>
      <c r="I252" t="str">
        <f t="shared" si="9"/>
        <v>041</v>
      </c>
      <c r="J252" s="13" t="s">
        <v>784</v>
      </c>
      <c r="K252" s="12" t="s">
        <v>783</v>
      </c>
      <c r="L252" t="s">
        <v>654</v>
      </c>
      <c r="M252" t="s">
        <v>785</v>
      </c>
      <c r="N252" t="str">
        <f t="shared" si="10"/>
        <v>('041','Mariana 1','FN_COL_MARIANA_1',2,135,1),</v>
      </c>
      <c r="R252">
        <f t="shared" si="11"/>
        <v>267</v>
      </c>
    </row>
    <row r="253" spans="1:18" ht="22.5" hidden="1" x14ac:dyDescent="0.3">
      <c r="A253" s="6" t="s">
        <v>490</v>
      </c>
      <c r="B253" s="13">
        <v>42</v>
      </c>
      <c r="C253" s="13" t="s">
        <v>1204</v>
      </c>
      <c r="D253" s="6" t="s">
        <v>353</v>
      </c>
      <c r="E253">
        <v>2</v>
      </c>
      <c r="F253" s="14">
        <v>135</v>
      </c>
      <c r="G253">
        <v>1</v>
      </c>
      <c r="H253" s="13">
        <v>42</v>
      </c>
      <c r="I253" t="str">
        <f t="shared" si="9"/>
        <v>042</v>
      </c>
      <c r="J253" s="13" t="s">
        <v>784</v>
      </c>
      <c r="K253" s="12" t="s">
        <v>783</v>
      </c>
      <c r="L253" t="s">
        <v>654</v>
      </c>
      <c r="M253" t="s">
        <v>785</v>
      </c>
      <c r="N253" t="str">
        <f t="shared" si="10"/>
        <v>('042','Mariana 4','FN_COL_MARIANA_4',2,135,1),</v>
      </c>
      <c r="R253">
        <f t="shared" si="11"/>
        <v>268</v>
      </c>
    </row>
    <row r="254" spans="1:18" ht="22.5" hidden="1" x14ac:dyDescent="0.3">
      <c r="A254" s="6" t="s">
        <v>354</v>
      </c>
      <c r="B254" s="13">
        <v>42</v>
      </c>
      <c r="C254" s="13" t="s">
        <v>1321</v>
      </c>
      <c r="D254" s="6" t="s">
        <v>353</v>
      </c>
      <c r="E254">
        <v>2</v>
      </c>
      <c r="F254" s="14">
        <v>135</v>
      </c>
      <c r="G254">
        <v>1</v>
      </c>
      <c r="H254" s="13">
        <v>42</v>
      </c>
      <c r="I254" t="str">
        <f t="shared" si="9"/>
        <v>042</v>
      </c>
      <c r="J254" s="13" t="s">
        <v>784</v>
      </c>
      <c r="K254" s="12" t="s">
        <v>783</v>
      </c>
      <c r="L254" t="s">
        <v>654</v>
      </c>
      <c r="M254" t="s">
        <v>785</v>
      </c>
      <c r="N254" t="str">
        <f t="shared" si="10"/>
        <v>('042','Mariana 4 y 5','FN_COL_MARIANA_4',2,135,1),</v>
      </c>
      <c r="R254">
        <f t="shared" si="11"/>
        <v>269</v>
      </c>
    </row>
    <row r="255" spans="1:18" ht="22.5" hidden="1" x14ac:dyDescent="0.3">
      <c r="A255" s="6" t="s">
        <v>448</v>
      </c>
      <c r="B255" s="13">
        <v>45</v>
      </c>
      <c r="C255" s="13" t="s">
        <v>1322</v>
      </c>
      <c r="D255" s="6" t="s">
        <v>443</v>
      </c>
      <c r="E255">
        <v>2</v>
      </c>
      <c r="F255" s="14">
        <v>135</v>
      </c>
      <c r="G255">
        <v>1</v>
      </c>
      <c r="H255" s="13">
        <v>45</v>
      </c>
      <c r="I255" t="str">
        <f t="shared" si="9"/>
        <v>045</v>
      </c>
      <c r="J255" s="13" t="s">
        <v>784</v>
      </c>
      <c r="K255" s="12" t="s">
        <v>783</v>
      </c>
      <c r="L255" t="s">
        <v>654</v>
      </c>
      <c r="M255" t="s">
        <v>785</v>
      </c>
      <c r="N255" t="str">
        <f t="shared" si="10"/>
        <v>('045','Valle Nuevo','FN_COL_VALLE_NUE1',2,135,1),</v>
      </c>
      <c r="R255">
        <f t="shared" si="11"/>
        <v>270</v>
      </c>
    </row>
    <row r="256" spans="1:18" ht="22.5" hidden="1" x14ac:dyDescent="0.3">
      <c r="A256" s="6" t="s">
        <v>447</v>
      </c>
      <c r="B256" s="13">
        <v>45</v>
      </c>
      <c r="C256" s="13" t="s">
        <v>1207</v>
      </c>
      <c r="D256" s="6" t="s">
        <v>443</v>
      </c>
      <c r="E256">
        <v>2</v>
      </c>
      <c r="F256" s="14">
        <v>135</v>
      </c>
      <c r="G256">
        <v>1</v>
      </c>
      <c r="H256" s="13">
        <v>45</v>
      </c>
      <c r="I256" t="str">
        <f t="shared" si="9"/>
        <v>045</v>
      </c>
      <c r="J256" s="13" t="s">
        <v>784</v>
      </c>
      <c r="K256" s="12" t="s">
        <v>783</v>
      </c>
      <c r="L256" t="s">
        <v>654</v>
      </c>
      <c r="M256" t="s">
        <v>785</v>
      </c>
      <c r="N256" t="str">
        <f t="shared" si="10"/>
        <v>('045','Valle Nuevo 1','FN_COL_VALLE_NUE1',2,135,1),</v>
      </c>
      <c r="R256">
        <f t="shared" si="11"/>
        <v>271</v>
      </c>
    </row>
    <row r="257" spans="1:18" ht="22.5" hidden="1" x14ac:dyDescent="0.3">
      <c r="A257" s="6" t="s">
        <v>452</v>
      </c>
      <c r="B257" s="13">
        <v>46</v>
      </c>
      <c r="C257" s="13" t="s">
        <v>1323</v>
      </c>
      <c r="D257" s="6" t="s">
        <v>450</v>
      </c>
      <c r="E257">
        <v>2</v>
      </c>
      <c r="F257" s="14">
        <v>135</v>
      </c>
      <c r="G257">
        <v>1</v>
      </c>
      <c r="H257" s="13">
        <v>46</v>
      </c>
      <c r="I257" t="str">
        <f t="shared" si="9"/>
        <v>046</v>
      </c>
      <c r="J257" s="13" t="s">
        <v>784</v>
      </c>
      <c r="K257" s="12" t="s">
        <v>783</v>
      </c>
      <c r="L257" t="s">
        <v>654</v>
      </c>
      <c r="M257" t="s">
        <v>785</v>
      </c>
      <c r="N257" t="str">
        <f t="shared" si="10"/>
        <v>('046','Valle Nuevo  2','FN_COL_VALLE_NUE2',2,135,1),</v>
      </c>
      <c r="R257">
        <f t="shared" si="11"/>
        <v>272</v>
      </c>
    </row>
    <row r="258" spans="1:18" ht="22.5" hidden="1" x14ac:dyDescent="0.3">
      <c r="A258" s="6" t="s">
        <v>451</v>
      </c>
      <c r="B258" s="13">
        <v>46</v>
      </c>
      <c r="C258" s="13" t="s">
        <v>1208</v>
      </c>
      <c r="D258" s="6" t="s">
        <v>450</v>
      </c>
      <c r="E258">
        <v>2</v>
      </c>
      <c r="F258" s="14">
        <v>135</v>
      </c>
      <c r="G258">
        <v>1</v>
      </c>
      <c r="H258" s="13">
        <v>46</v>
      </c>
      <c r="I258" t="str">
        <f t="shared" si="9"/>
        <v>046</v>
      </c>
      <c r="J258" s="13" t="s">
        <v>784</v>
      </c>
      <c r="K258" s="12" t="s">
        <v>783</v>
      </c>
      <c r="L258" t="s">
        <v>654</v>
      </c>
      <c r="M258" t="s">
        <v>785</v>
      </c>
      <c r="N258" t="str">
        <f t="shared" si="10"/>
        <v>('046','Valle Nuevo 2','FN_COL_VALLE_NUE2',2,135,1),</v>
      </c>
      <c r="R258">
        <f t="shared" si="11"/>
        <v>273</v>
      </c>
    </row>
    <row r="259" spans="1:18" ht="22.5" hidden="1" x14ac:dyDescent="0.3">
      <c r="A259" s="6" t="s">
        <v>277</v>
      </c>
      <c r="B259" s="13">
        <v>89</v>
      </c>
      <c r="C259" s="13" t="s">
        <v>1324</v>
      </c>
      <c r="D259" s="6" t="s">
        <v>276</v>
      </c>
      <c r="E259">
        <v>2</v>
      </c>
      <c r="F259" s="14">
        <v>135</v>
      </c>
      <c r="G259">
        <v>1</v>
      </c>
      <c r="H259" s="13">
        <v>89</v>
      </c>
      <c r="I259" t="str">
        <f t="shared" ref="I259:I284" si="12">+IF(LEN(H259)=1,_xlfn.CONCAT("00",H259),IF(LEN(H259)=2,_xlfn.CONCAT("0",H259),H259))</f>
        <v>089</v>
      </c>
      <c r="J259" s="13" t="s">
        <v>784</v>
      </c>
      <c r="K259" s="12" t="s">
        <v>783</v>
      </c>
      <c r="L259" t="s">
        <v>654</v>
      </c>
      <c r="M259" t="s">
        <v>785</v>
      </c>
      <c r="N259" t="str">
        <f t="shared" ref="N259:N283" si="13">+J259&amp;K259&amp;I259&amp;K259&amp;L259&amp;K259&amp;C259&amp;K259&amp;L259&amp;K259&amp;D259&amp;K259&amp;L259&amp;E259&amp;L259&amp;F259&amp;L259&amp;G259&amp;M259&amp;L259</f>
        <v>('089','Callejones 1','FN_COL_LA_CURVA',2,135,1),</v>
      </c>
      <c r="R259">
        <f t="shared" si="11"/>
        <v>274</v>
      </c>
    </row>
    <row r="260" spans="1:18" ht="22.5" hidden="1" x14ac:dyDescent="0.3">
      <c r="A260" s="6" t="s">
        <v>278</v>
      </c>
      <c r="B260" s="13">
        <v>89</v>
      </c>
      <c r="C260" s="13" t="s">
        <v>1325</v>
      </c>
      <c r="D260" s="6" t="s">
        <v>276</v>
      </c>
      <c r="E260">
        <v>2</v>
      </c>
      <c r="F260" s="14">
        <v>135</v>
      </c>
      <c r="G260">
        <v>1</v>
      </c>
      <c r="H260" s="13">
        <v>89</v>
      </c>
      <c r="I260" t="str">
        <f t="shared" si="12"/>
        <v>089</v>
      </c>
      <c r="J260" s="13" t="s">
        <v>784</v>
      </c>
      <c r="K260" s="12" t="s">
        <v>783</v>
      </c>
      <c r="L260" t="s">
        <v>654</v>
      </c>
      <c r="M260" t="s">
        <v>785</v>
      </c>
      <c r="N260" t="str">
        <f t="shared" si="13"/>
        <v>('089','Callejones La curva','FN_COL_LA_CURVA',2,135,1),</v>
      </c>
      <c r="R260">
        <f t="shared" ref="R260:R284" si="14">+R259+1</f>
        <v>275</v>
      </c>
    </row>
    <row r="261" spans="1:18" ht="22.5" hidden="1" x14ac:dyDescent="0.3">
      <c r="A261" s="6" t="s">
        <v>351</v>
      </c>
      <c r="B261" s="13">
        <v>170</v>
      </c>
      <c r="C261" s="13" t="s">
        <v>1210</v>
      </c>
      <c r="D261" s="6" t="s">
        <v>350</v>
      </c>
      <c r="E261">
        <v>2</v>
      </c>
      <c r="F261" s="14">
        <v>135</v>
      </c>
      <c r="G261">
        <v>1</v>
      </c>
      <c r="H261" s="13">
        <v>170</v>
      </c>
      <c r="I261">
        <f t="shared" si="12"/>
        <v>170</v>
      </c>
      <c r="J261" s="13" t="s">
        <v>784</v>
      </c>
      <c r="K261" s="12" t="s">
        <v>783</v>
      </c>
      <c r="L261" t="s">
        <v>654</v>
      </c>
      <c r="M261" t="s">
        <v>785</v>
      </c>
      <c r="N261" t="str">
        <f t="shared" si="13"/>
        <v>('170','Mariana 2','FN_COL_MARIANA_2',2,135,1),</v>
      </c>
      <c r="R261">
        <f t="shared" si="14"/>
        <v>276</v>
      </c>
    </row>
    <row r="262" spans="1:18" ht="22.5" hidden="1" x14ac:dyDescent="0.3">
      <c r="A262" s="6" t="s">
        <v>207</v>
      </c>
      <c r="B262" s="13">
        <v>272</v>
      </c>
      <c r="C262" s="13" t="s">
        <v>1214</v>
      </c>
      <c r="D262" s="6" t="s">
        <v>206</v>
      </c>
      <c r="E262">
        <v>2</v>
      </c>
      <c r="F262" s="14">
        <v>135</v>
      </c>
      <c r="G262">
        <v>1</v>
      </c>
      <c r="H262" s="13">
        <v>272</v>
      </c>
      <c r="I262">
        <f t="shared" si="12"/>
        <v>272</v>
      </c>
      <c r="J262" s="13" t="s">
        <v>784</v>
      </c>
      <c r="K262" s="12" t="s">
        <v>783</v>
      </c>
      <c r="L262" t="s">
        <v>654</v>
      </c>
      <c r="M262" t="s">
        <v>785</v>
      </c>
      <c r="N262" t="str">
        <f t="shared" si="13"/>
        <v>('272','La Coneja','FN_COL_CONEJA',2,135,1),</v>
      </c>
      <c r="R262">
        <f t="shared" si="14"/>
        <v>277</v>
      </c>
    </row>
    <row r="263" spans="1:18" ht="22.5" hidden="1" x14ac:dyDescent="0.3">
      <c r="A263" s="6" t="s">
        <v>564</v>
      </c>
      <c r="B263" s="13">
        <v>277</v>
      </c>
      <c r="C263" s="13" t="s">
        <v>1264</v>
      </c>
      <c r="D263" s="6" t="s">
        <v>156</v>
      </c>
      <c r="E263">
        <v>2</v>
      </c>
      <c r="F263" s="14">
        <v>135</v>
      </c>
      <c r="G263">
        <v>1</v>
      </c>
      <c r="H263" s="13">
        <v>277</v>
      </c>
      <c r="I263">
        <f t="shared" si="12"/>
        <v>277</v>
      </c>
      <c r="J263" s="13" t="s">
        <v>784</v>
      </c>
      <c r="K263" s="12" t="s">
        <v>783</v>
      </c>
      <c r="L263" t="s">
        <v>654</v>
      </c>
      <c r="M263" t="s">
        <v>785</v>
      </c>
      <c r="N263" t="str">
        <f t="shared" si="13"/>
        <v>('277','Adan Ursua','FN_COL_ADAN_URSUA',2,135,1),</v>
      </c>
      <c r="R263">
        <f t="shared" si="14"/>
        <v>278</v>
      </c>
    </row>
    <row r="264" spans="1:18" ht="22.5" hidden="1" x14ac:dyDescent="0.3">
      <c r="A264" s="6" t="s">
        <v>511</v>
      </c>
      <c r="B264" s="13">
        <v>289</v>
      </c>
      <c r="C264" s="13" t="s">
        <v>1326</v>
      </c>
      <c r="D264" s="6" t="s">
        <v>512</v>
      </c>
      <c r="E264">
        <v>2</v>
      </c>
      <c r="F264" s="14">
        <v>135</v>
      </c>
      <c r="G264">
        <v>1</v>
      </c>
      <c r="H264" s="13">
        <v>289</v>
      </c>
      <c r="I264">
        <f t="shared" si="12"/>
        <v>289</v>
      </c>
      <c r="J264" s="13" t="s">
        <v>784</v>
      </c>
      <c r="K264" s="12" t="s">
        <v>783</v>
      </c>
      <c r="L264" t="s">
        <v>654</v>
      </c>
      <c r="M264" t="s">
        <v>785</v>
      </c>
      <c r="N264" t="str">
        <f t="shared" si="13"/>
        <v>('289','Mendoza','FN_COL_MENDOZA',2,135,1),</v>
      </c>
      <c r="R264">
        <f t="shared" si="14"/>
        <v>279</v>
      </c>
    </row>
    <row r="265" spans="1:18" ht="22.5" hidden="1" x14ac:dyDescent="0.3">
      <c r="A265" s="6" t="s">
        <v>549</v>
      </c>
      <c r="B265" s="13">
        <v>291</v>
      </c>
      <c r="C265" s="13" t="s">
        <v>1327</v>
      </c>
      <c r="D265" s="6" t="s">
        <v>550</v>
      </c>
      <c r="E265">
        <v>2</v>
      </c>
      <c r="F265" s="14">
        <v>135</v>
      </c>
      <c r="G265">
        <v>1</v>
      </c>
      <c r="H265" s="13">
        <v>291</v>
      </c>
      <c r="I265">
        <f t="shared" si="12"/>
        <v>291</v>
      </c>
      <c r="J265" s="13" t="s">
        <v>784</v>
      </c>
      <c r="K265" s="12" t="s">
        <v>783</v>
      </c>
      <c r="L265" t="s">
        <v>654</v>
      </c>
      <c r="M265" t="s">
        <v>785</v>
      </c>
      <c r="N265" t="str">
        <f t="shared" si="13"/>
        <v>('291','La Reversa','FN_COL_REVERSA',2,135,1),</v>
      </c>
      <c r="R265">
        <f t="shared" si="14"/>
        <v>280</v>
      </c>
    </row>
    <row r="266" spans="1:18" ht="22.5" hidden="1" x14ac:dyDescent="0.3">
      <c r="A266" s="6" t="s">
        <v>445</v>
      </c>
      <c r="B266" s="13">
        <v>45</v>
      </c>
      <c r="C266" s="13" t="s">
        <v>1207</v>
      </c>
      <c r="D266" s="6" t="s">
        <v>443</v>
      </c>
      <c r="E266">
        <v>2</v>
      </c>
      <c r="F266" s="14">
        <v>135</v>
      </c>
      <c r="G266">
        <v>1</v>
      </c>
      <c r="H266" s="13">
        <v>45</v>
      </c>
      <c r="I266" t="str">
        <f t="shared" si="12"/>
        <v>045</v>
      </c>
      <c r="J266" s="13" t="s">
        <v>784</v>
      </c>
      <c r="K266" s="12" t="s">
        <v>783</v>
      </c>
      <c r="L266" t="s">
        <v>654</v>
      </c>
      <c r="M266" t="s">
        <v>785</v>
      </c>
      <c r="N266" t="str">
        <f t="shared" si="13"/>
        <v>('045','Valle Nuevo 1','FN_COL_VALLE_NUE1',2,135,1),</v>
      </c>
      <c r="R266">
        <f t="shared" si="14"/>
        <v>281</v>
      </c>
    </row>
    <row r="267" spans="1:18" ht="22.5" hidden="1" x14ac:dyDescent="0.3">
      <c r="A267" s="6" t="s">
        <v>193</v>
      </c>
      <c r="B267" s="13">
        <v>270</v>
      </c>
      <c r="C267" s="13" t="s">
        <v>1313</v>
      </c>
      <c r="D267" s="6" t="s">
        <v>192</v>
      </c>
      <c r="E267">
        <v>2</v>
      </c>
      <c r="F267" s="14">
        <v>164</v>
      </c>
      <c r="G267">
        <v>1</v>
      </c>
      <c r="H267" s="13">
        <v>270</v>
      </c>
      <c r="I267">
        <f t="shared" si="12"/>
        <v>270</v>
      </c>
      <c r="J267" s="13" t="s">
        <v>784</v>
      </c>
      <c r="K267" s="12" t="s">
        <v>783</v>
      </c>
      <c r="L267" t="s">
        <v>654</v>
      </c>
      <c r="M267" t="s">
        <v>785</v>
      </c>
      <c r="N267" t="str">
        <f t="shared" si="13"/>
        <v>('270','Cerrito de aguilar','FN_COL_CERRITO',2,164,1),</v>
      </c>
      <c r="R267">
        <f t="shared" si="14"/>
        <v>282</v>
      </c>
    </row>
    <row r="268" spans="1:18" ht="22.5" hidden="1" x14ac:dyDescent="0.3">
      <c r="A268" s="6" t="s">
        <v>508</v>
      </c>
      <c r="B268" s="13">
        <v>37</v>
      </c>
      <c r="C268" s="13" t="s">
        <v>757</v>
      </c>
      <c r="D268" s="6" t="s">
        <v>268</v>
      </c>
      <c r="E268">
        <v>2</v>
      </c>
      <c r="F268" s="14">
        <v>137</v>
      </c>
      <c r="G268">
        <v>1</v>
      </c>
      <c r="H268" s="13">
        <v>37</v>
      </c>
      <c r="I268" t="str">
        <f t="shared" si="12"/>
        <v>037</v>
      </c>
      <c r="J268" s="13" t="s">
        <v>784</v>
      </c>
      <c r="K268" s="12" t="s">
        <v>783</v>
      </c>
      <c r="L268" t="s">
        <v>654</v>
      </c>
      <c r="M268" t="s">
        <v>785</v>
      </c>
      <c r="N268" t="str">
        <f t="shared" si="13"/>
        <v>('037','Jorge Ochoa','FN_COL_JORGE_OCHOA',2,137,1),</v>
      </c>
      <c r="R268">
        <f t="shared" si="14"/>
        <v>283</v>
      </c>
    </row>
    <row r="269" spans="1:18" ht="22.5" hidden="1" x14ac:dyDescent="0.3">
      <c r="A269" s="6" t="s">
        <v>488</v>
      </c>
      <c r="B269" s="13">
        <v>280</v>
      </c>
      <c r="C269" s="13" t="s">
        <v>1283</v>
      </c>
      <c r="D269" s="6" t="s">
        <v>254</v>
      </c>
      <c r="E269">
        <v>2</v>
      </c>
      <c r="F269" s="14">
        <v>137</v>
      </c>
      <c r="G269">
        <v>1</v>
      </c>
      <c r="H269" s="13">
        <v>280</v>
      </c>
      <c r="I269">
        <f t="shared" si="12"/>
        <v>280</v>
      </c>
      <c r="J269" s="13" t="s">
        <v>784</v>
      </c>
      <c r="K269" s="12" t="s">
        <v>783</v>
      </c>
      <c r="L269" t="s">
        <v>654</v>
      </c>
      <c r="M269" t="s">
        <v>785</v>
      </c>
      <c r="N269" t="str">
        <f t="shared" si="13"/>
        <v>('280','La Guerita','FN_COL_GUERITA',2,137,1),</v>
      </c>
      <c r="R269">
        <f t="shared" si="14"/>
        <v>284</v>
      </c>
    </row>
    <row r="270" spans="1:18" ht="22.5" hidden="1" x14ac:dyDescent="0.3">
      <c r="A270" s="6" t="s">
        <v>469</v>
      </c>
      <c r="B270" s="13" t="s">
        <v>1328</v>
      </c>
      <c r="C270" s="13" t="s">
        <v>1329</v>
      </c>
      <c r="D270" s="6" t="s">
        <v>470</v>
      </c>
      <c r="E270">
        <v>3</v>
      </c>
      <c r="F270" s="14">
        <v>139</v>
      </c>
      <c r="G270">
        <v>1</v>
      </c>
      <c r="H270" s="13" t="s">
        <v>1328</v>
      </c>
      <c r="I270" t="str">
        <f t="shared" si="12"/>
        <v>0G2</v>
      </c>
      <c r="J270" s="13" t="s">
        <v>784</v>
      </c>
      <c r="K270" s="12" t="s">
        <v>783</v>
      </c>
      <c r="L270" t="s">
        <v>654</v>
      </c>
      <c r="M270" t="s">
        <v>785</v>
      </c>
      <c r="N270" t="str">
        <f t="shared" si="13"/>
        <v>('0G2','Genesis 2','FN_TAB_GEN_II_FC',3,139,1),</v>
      </c>
      <c r="R270">
        <f t="shared" si="14"/>
        <v>285</v>
      </c>
    </row>
    <row r="271" spans="1:18" ht="22.5" hidden="1" x14ac:dyDescent="0.3">
      <c r="A271" s="6" t="s">
        <v>471</v>
      </c>
      <c r="B271" s="13" t="s">
        <v>1330</v>
      </c>
      <c r="C271" s="13" t="s">
        <v>1331</v>
      </c>
      <c r="D271" s="6" t="s">
        <v>472</v>
      </c>
      <c r="E271">
        <v>3</v>
      </c>
      <c r="F271" s="14">
        <v>139</v>
      </c>
      <c r="G271">
        <v>1</v>
      </c>
      <c r="H271" s="13" t="s">
        <v>1330</v>
      </c>
      <c r="I271" t="str">
        <f t="shared" si="12"/>
        <v>0G3</v>
      </c>
      <c r="J271" s="13" t="s">
        <v>784</v>
      </c>
      <c r="K271" s="12" t="s">
        <v>783</v>
      </c>
      <c r="L271" t="s">
        <v>654</v>
      </c>
      <c r="M271" t="s">
        <v>785</v>
      </c>
      <c r="N271" t="str">
        <f t="shared" si="13"/>
        <v>('0G3','Genesis 3','FN_TAB_GEN_III_FC',3,139,1),</v>
      </c>
      <c r="R271">
        <f t="shared" si="14"/>
        <v>286</v>
      </c>
    </row>
    <row r="272" spans="1:18" ht="22.5" hidden="1" x14ac:dyDescent="0.3">
      <c r="A272" s="6" t="s">
        <v>526</v>
      </c>
      <c r="B272" s="13">
        <v>17</v>
      </c>
      <c r="C272" s="13" t="s">
        <v>1332</v>
      </c>
      <c r="D272" s="6" t="s">
        <v>527</v>
      </c>
      <c r="E272">
        <v>3</v>
      </c>
      <c r="F272" s="14">
        <v>141</v>
      </c>
      <c r="G272">
        <v>1</v>
      </c>
      <c r="H272" s="13">
        <v>17</v>
      </c>
      <c r="I272" t="str">
        <f t="shared" si="12"/>
        <v>017</v>
      </c>
      <c r="J272" s="13" t="s">
        <v>784</v>
      </c>
      <c r="K272" s="12" t="s">
        <v>783</v>
      </c>
      <c r="L272" t="s">
        <v>654</v>
      </c>
      <c r="M272" t="s">
        <v>785</v>
      </c>
      <c r="N272" t="str">
        <f t="shared" si="13"/>
        <v>('017','Jaguar','FN_TAB_JAGUAR',3,141,1),</v>
      </c>
      <c r="R272">
        <f t="shared" si="14"/>
        <v>287</v>
      </c>
    </row>
    <row r="273" spans="1:18" ht="22.5" hidden="1" x14ac:dyDescent="0.3">
      <c r="A273" s="6" t="s">
        <v>463</v>
      </c>
      <c r="B273" s="13">
        <v>20</v>
      </c>
      <c r="C273" s="13" t="s">
        <v>1333</v>
      </c>
      <c r="D273" s="6" t="s">
        <v>464</v>
      </c>
      <c r="E273">
        <v>3</v>
      </c>
      <c r="F273" s="14">
        <v>142</v>
      </c>
      <c r="G273">
        <v>1</v>
      </c>
      <c r="H273" s="13">
        <v>20</v>
      </c>
      <c r="I273" t="str">
        <f t="shared" si="12"/>
        <v>020</v>
      </c>
      <c r="J273" s="13" t="s">
        <v>784</v>
      </c>
      <c r="K273" s="12" t="s">
        <v>783</v>
      </c>
      <c r="L273" t="s">
        <v>654</v>
      </c>
      <c r="M273" t="s">
        <v>785</v>
      </c>
      <c r="N273" t="str">
        <f t="shared" si="13"/>
        <v>('020','Candelaria','FN_TAB_CANDELARIA',3,142,1),</v>
      </c>
      <c r="R273">
        <f t="shared" si="14"/>
        <v>288</v>
      </c>
    </row>
    <row r="274" spans="1:18" ht="22.5" hidden="1" x14ac:dyDescent="0.3">
      <c r="A274" s="6" t="s">
        <v>473</v>
      </c>
      <c r="B274" s="13">
        <v>21</v>
      </c>
      <c r="C274" s="13" t="s">
        <v>1334</v>
      </c>
      <c r="D274" s="6" t="s">
        <v>474</v>
      </c>
      <c r="E274">
        <v>3</v>
      </c>
      <c r="F274" s="14">
        <v>142</v>
      </c>
      <c r="G274">
        <v>1</v>
      </c>
      <c r="H274" s="13">
        <v>21</v>
      </c>
      <c r="I274" t="str">
        <f t="shared" si="12"/>
        <v>021</v>
      </c>
      <c r="J274" s="13" t="s">
        <v>784</v>
      </c>
      <c r="K274" s="12" t="s">
        <v>783</v>
      </c>
      <c r="L274" t="s">
        <v>654</v>
      </c>
      <c r="M274" t="s">
        <v>785</v>
      </c>
      <c r="N274" t="str">
        <f t="shared" si="13"/>
        <v>('021','Tembladera','FN_TAB_TEMBLADERA',3,142,1),</v>
      </c>
      <c r="R274">
        <f t="shared" si="14"/>
        <v>289</v>
      </c>
    </row>
    <row r="275" spans="1:18" ht="22.5" hidden="1" x14ac:dyDescent="0.3">
      <c r="A275" s="6" t="s">
        <v>543</v>
      </c>
      <c r="B275" s="13">
        <v>22</v>
      </c>
      <c r="C275" s="13" t="s">
        <v>1335</v>
      </c>
      <c r="D275" s="6" t="s">
        <v>544</v>
      </c>
      <c r="E275">
        <v>3</v>
      </c>
      <c r="F275" s="14">
        <v>142</v>
      </c>
      <c r="G275">
        <v>1</v>
      </c>
      <c r="H275" s="13">
        <v>22</v>
      </c>
      <c r="I275" t="str">
        <f t="shared" si="12"/>
        <v>022</v>
      </c>
      <c r="J275" s="13" t="s">
        <v>784</v>
      </c>
      <c r="K275" s="12" t="s">
        <v>783</v>
      </c>
      <c r="L275" t="s">
        <v>654</v>
      </c>
      <c r="M275" t="s">
        <v>785</v>
      </c>
      <c r="N275" t="str">
        <f t="shared" si="13"/>
        <v>('022','El Tirol','FN_TAB_TIROL',3,142,1),</v>
      </c>
      <c r="R275">
        <f t="shared" si="14"/>
        <v>290</v>
      </c>
    </row>
    <row r="276" spans="1:18" ht="22.5" hidden="1" x14ac:dyDescent="0.3">
      <c r="A276" s="6" t="s">
        <v>528</v>
      </c>
      <c r="B276" s="13">
        <v>45</v>
      </c>
      <c r="C276" s="13" t="s">
        <v>1336</v>
      </c>
      <c r="D276" s="6" t="s">
        <v>529</v>
      </c>
      <c r="E276">
        <v>3</v>
      </c>
      <c r="F276" s="14">
        <v>143</v>
      </c>
      <c r="G276">
        <v>1</v>
      </c>
      <c r="H276" s="13">
        <v>45</v>
      </c>
      <c r="I276" t="str">
        <f t="shared" si="12"/>
        <v>045</v>
      </c>
      <c r="J276" s="13" t="s">
        <v>784</v>
      </c>
      <c r="K276" s="12" t="s">
        <v>783</v>
      </c>
      <c r="L276" t="s">
        <v>654</v>
      </c>
      <c r="M276" t="s">
        <v>785</v>
      </c>
      <c r="N276" t="str">
        <f t="shared" si="13"/>
        <v>('045','Santa Rosa FC','FN_TAB_STAROSA',3,143,1),</v>
      </c>
      <c r="R276">
        <f t="shared" si="14"/>
        <v>291</v>
      </c>
    </row>
    <row r="277" spans="1:18" ht="22.5" hidden="1" x14ac:dyDescent="0.3">
      <c r="A277" s="6" t="s">
        <v>497</v>
      </c>
      <c r="B277" s="13">
        <v>28</v>
      </c>
      <c r="C277" s="13" t="s">
        <v>1337</v>
      </c>
      <c r="D277" s="6" t="s">
        <v>498</v>
      </c>
      <c r="E277">
        <v>3</v>
      </c>
      <c r="F277" s="14">
        <v>144</v>
      </c>
      <c r="G277">
        <v>1</v>
      </c>
      <c r="H277" s="13">
        <v>28</v>
      </c>
      <c r="I277" t="str">
        <f t="shared" si="12"/>
        <v>028</v>
      </c>
      <c r="J277" s="13" t="s">
        <v>784</v>
      </c>
      <c r="K277" s="12" t="s">
        <v>783</v>
      </c>
      <c r="L277" t="s">
        <v>654</v>
      </c>
      <c r="M277" t="s">
        <v>785</v>
      </c>
      <c r="N277" t="str">
        <f t="shared" si="13"/>
        <v>('028','San Jose Gonzales','FN_TAB_SAN_JOSE_GL',3,144,1),</v>
      </c>
      <c r="R277">
        <f t="shared" si="14"/>
        <v>292</v>
      </c>
    </row>
    <row r="278" spans="1:18" ht="22.5" hidden="1" x14ac:dyDescent="0.3">
      <c r="A278" s="6" t="s">
        <v>465</v>
      </c>
      <c r="B278" s="13">
        <v>31</v>
      </c>
      <c r="C278" s="13" t="s">
        <v>1338</v>
      </c>
      <c r="D278" s="6" t="s">
        <v>466</v>
      </c>
      <c r="E278">
        <v>3</v>
      </c>
      <c r="F278" s="14">
        <v>145</v>
      </c>
      <c r="G278">
        <v>1</v>
      </c>
      <c r="H278" s="13">
        <v>31</v>
      </c>
      <c r="I278" t="str">
        <f t="shared" si="12"/>
        <v>031</v>
      </c>
      <c r="J278" s="13" t="s">
        <v>784</v>
      </c>
      <c r="K278" s="12" t="s">
        <v>783</v>
      </c>
      <c r="L278" t="s">
        <v>654</v>
      </c>
      <c r="M278" t="s">
        <v>785</v>
      </c>
      <c r="N278" t="str">
        <f t="shared" si="13"/>
        <v>('031','El Dolar','FN_TAB_EL_DOLAR',3,145,1),</v>
      </c>
      <c r="R278">
        <f t="shared" si="14"/>
        <v>293</v>
      </c>
    </row>
    <row r="279" spans="1:18" ht="22.5" hidden="1" x14ac:dyDescent="0.3">
      <c r="A279" s="6" t="s">
        <v>522</v>
      </c>
      <c r="B279" s="13">
        <v>25</v>
      </c>
      <c r="C279" s="13" t="s">
        <v>1339</v>
      </c>
      <c r="D279" s="6" t="s">
        <v>523</v>
      </c>
      <c r="E279">
        <v>3</v>
      </c>
      <c r="F279" s="14">
        <v>146</v>
      </c>
      <c r="G279">
        <v>1</v>
      </c>
      <c r="H279" s="13">
        <v>25</v>
      </c>
      <c r="I279" t="str">
        <f t="shared" si="12"/>
        <v>025</v>
      </c>
      <c r="J279" s="13" t="s">
        <v>784</v>
      </c>
      <c r="K279" s="12" t="s">
        <v>783</v>
      </c>
      <c r="L279" t="s">
        <v>654</v>
      </c>
      <c r="M279" t="s">
        <v>785</v>
      </c>
      <c r="N279" t="str">
        <f t="shared" si="13"/>
        <v>('025','Sabe Bananas','FN_TAB_SABEBANANA',3,146,1),</v>
      </c>
      <c r="R279">
        <f t="shared" si="14"/>
        <v>294</v>
      </c>
    </row>
    <row r="280" spans="1:18" ht="22.5" hidden="1" x14ac:dyDescent="0.3">
      <c r="A280" s="6" t="s">
        <v>520</v>
      </c>
      <c r="B280" s="13">
        <v>30</v>
      </c>
      <c r="C280" s="13" t="s">
        <v>1340</v>
      </c>
      <c r="D280" s="6" t="s">
        <v>521</v>
      </c>
      <c r="E280">
        <v>3</v>
      </c>
      <c r="F280" s="14">
        <v>147</v>
      </c>
      <c r="G280">
        <v>1</v>
      </c>
      <c r="H280" s="13">
        <v>30</v>
      </c>
      <c r="I280" t="str">
        <f t="shared" si="12"/>
        <v>030</v>
      </c>
      <c r="J280" s="13" t="s">
        <v>784</v>
      </c>
      <c r="K280" s="12" t="s">
        <v>783</v>
      </c>
      <c r="L280" t="s">
        <v>654</v>
      </c>
      <c r="M280" t="s">
        <v>785</v>
      </c>
      <c r="N280" t="str">
        <f t="shared" si="13"/>
        <v>('030','Chela Bananas','FN_TAB_CHELA',3,147,1),</v>
      </c>
      <c r="R280">
        <f t="shared" si="14"/>
        <v>295</v>
      </c>
    </row>
    <row r="281" spans="1:18" ht="22.5" hidden="1" x14ac:dyDescent="0.3">
      <c r="A281" s="6" t="s">
        <v>571</v>
      </c>
      <c r="B281" s="13">
        <v>41</v>
      </c>
      <c r="C281" s="13" t="s">
        <v>865</v>
      </c>
      <c r="D281" s="6" t="s">
        <v>468</v>
      </c>
      <c r="E281">
        <v>3</v>
      </c>
      <c r="F281" s="14">
        <v>149</v>
      </c>
      <c r="G281">
        <v>1</v>
      </c>
      <c r="H281" s="13">
        <v>41</v>
      </c>
      <c r="I281" t="str">
        <f t="shared" si="12"/>
        <v>041</v>
      </c>
      <c r="J281" s="13" t="s">
        <v>784</v>
      </c>
      <c r="K281" s="12" t="s">
        <v>783</v>
      </c>
      <c r="L281" t="s">
        <v>654</v>
      </c>
      <c r="M281" t="s">
        <v>785</v>
      </c>
      <c r="N281" t="str">
        <f t="shared" si="13"/>
        <v>('041','Santos Soberano','FN_TAB_FELIPE_MTZ',3,149,1),</v>
      </c>
      <c r="R281">
        <f t="shared" si="14"/>
        <v>296</v>
      </c>
    </row>
    <row r="282" spans="1:18" ht="22.5" hidden="1" x14ac:dyDescent="0.3">
      <c r="A282" s="6" t="s">
        <v>467</v>
      </c>
      <c r="B282" s="13">
        <v>43</v>
      </c>
      <c r="C282" s="13" t="s">
        <v>731</v>
      </c>
      <c r="D282" s="6" t="s">
        <v>468</v>
      </c>
      <c r="E282">
        <v>3</v>
      </c>
      <c r="F282" s="14">
        <v>150</v>
      </c>
      <c r="G282">
        <v>1</v>
      </c>
      <c r="H282" s="13">
        <v>43</v>
      </c>
      <c r="I282" t="str">
        <f t="shared" si="12"/>
        <v>043</v>
      </c>
      <c r="J282" s="13" t="s">
        <v>784</v>
      </c>
      <c r="K282" s="12" t="s">
        <v>783</v>
      </c>
      <c r="L282" t="s">
        <v>654</v>
      </c>
      <c r="M282" t="s">
        <v>785</v>
      </c>
      <c r="N282" t="str">
        <f t="shared" si="13"/>
        <v>('043','Felipe Martinez Ruiz','FN_TAB_FELIPE_MTZ',3,150,1),</v>
      </c>
      <c r="R282">
        <f t="shared" si="14"/>
        <v>297</v>
      </c>
    </row>
    <row r="283" spans="1:18" ht="22.5" hidden="1" x14ac:dyDescent="0.3">
      <c r="A283" s="6" t="s">
        <v>524</v>
      </c>
      <c r="B283" s="13">
        <v>3</v>
      </c>
      <c r="C283" s="13" t="s">
        <v>1341</v>
      </c>
      <c r="D283" s="6" t="s">
        <v>525</v>
      </c>
      <c r="E283">
        <v>3</v>
      </c>
      <c r="F283" s="14">
        <v>151</v>
      </c>
      <c r="G283">
        <v>1</v>
      </c>
      <c r="H283" s="13">
        <v>3</v>
      </c>
      <c r="I283" t="str">
        <f t="shared" si="12"/>
        <v>003</v>
      </c>
      <c r="J283" s="13" t="s">
        <v>784</v>
      </c>
      <c r="K283" s="12" t="s">
        <v>783</v>
      </c>
      <c r="L283" t="s">
        <v>654</v>
      </c>
      <c r="M283" t="s">
        <v>785</v>
      </c>
      <c r="N283" t="str">
        <f t="shared" si="13"/>
        <v>('003','San Lorenzo','FN_TAB_LORENZOTAB',3,151,1),</v>
      </c>
      <c r="R283">
        <f t="shared" si="14"/>
        <v>298</v>
      </c>
    </row>
    <row r="284" spans="1:18" ht="22.5" hidden="1" x14ac:dyDescent="0.3">
      <c r="A284" s="6" t="s">
        <v>514</v>
      </c>
      <c r="B284" s="13">
        <v>44</v>
      </c>
      <c r="C284" s="13" t="s">
        <v>1342</v>
      </c>
      <c r="D284" s="6" t="s">
        <v>515</v>
      </c>
      <c r="E284">
        <v>3</v>
      </c>
      <c r="F284" s="14">
        <v>151</v>
      </c>
      <c r="G284">
        <v>1</v>
      </c>
      <c r="H284" s="13">
        <v>44</v>
      </c>
      <c r="I284" t="str">
        <f t="shared" si="12"/>
        <v>044</v>
      </c>
      <c r="J284" s="13" t="s">
        <v>784</v>
      </c>
      <c r="K284" s="12" t="s">
        <v>783</v>
      </c>
      <c r="L284" t="s">
        <v>654</v>
      </c>
      <c r="M284" t="s">
        <v>785</v>
      </c>
      <c r="N284" t="str">
        <f>+J284&amp;K284&amp;I284&amp;K284&amp;L284&amp;K284&amp;C284&amp;K284&amp;L284&amp;K284&amp;D284&amp;K284&amp;L284&amp;E284&amp;L284&amp;F284&amp;L284&amp;G284&amp;M284</f>
        <v>('044','El Macayo','FN_TAB_MACAYO',3,151,1)</v>
      </c>
      <c r="R284">
        <f t="shared" si="14"/>
        <v>299</v>
      </c>
    </row>
  </sheetData>
  <protectedRanges>
    <protectedRange algorithmName="SHA-512" hashValue="oAofLzPsEABz+g8s4EYjUuwXH7ykbMbBHfCBkrjaG9AypkvLlHymmath48lOXQru/nByDYQVi/KXn1fge9PtNA==" saltValue="K19iw11Oiq05wm1mPIKVDQ==" spinCount="100000" sqref="D226" name="Rango4"/>
    <protectedRange algorithmName="SHA-512" hashValue="oAofLzPsEABz+g8s4EYjUuwXH7ykbMbBHfCBkrjaG9AypkvLlHymmath48lOXQru/nByDYQVi/KXn1fge9PtNA==" saltValue="K19iw11Oiq05wm1mPIKVDQ==" spinCount="100000" sqref="D227" name="Rango4_1"/>
    <protectedRange algorithmName="SHA-512" hashValue="oAofLzPsEABz+g8s4EYjUuwXH7ykbMbBHfCBkrjaG9AypkvLlHymmath48lOXQru/nByDYQVi/KXn1fge9PtNA==" saltValue="K19iw11Oiq05wm1mPIKVDQ==" spinCount="100000" sqref="D228" name="Rango4_2"/>
    <protectedRange algorithmName="SHA-512" hashValue="oAofLzPsEABz+g8s4EYjUuwXH7ykbMbBHfCBkrjaG9AypkvLlHymmath48lOXQru/nByDYQVi/KXn1fge9PtNA==" saltValue="K19iw11Oiq05wm1mPIKVDQ==" spinCount="100000" sqref="D229" name="Rango4_3"/>
    <protectedRange algorithmName="SHA-512" hashValue="oAofLzPsEABz+g8s4EYjUuwXH7ykbMbBHfCBkrjaG9AypkvLlHymmath48lOXQru/nByDYQVi/KXn1fge9PtNA==" saltValue="K19iw11Oiq05wm1mPIKVDQ==" spinCount="100000" sqref="D230" name="Rango4_4"/>
    <protectedRange algorithmName="SHA-512" hashValue="oAofLzPsEABz+g8s4EYjUuwXH7ykbMbBHfCBkrjaG9AypkvLlHymmath48lOXQru/nByDYQVi/KXn1fge9PtNA==" saltValue="K19iw11Oiq05wm1mPIKVDQ==" spinCount="100000" sqref="D231" name="Rango4_5"/>
    <protectedRange algorithmName="SHA-512" hashValue="oAofLzPsEABz+g8s4EYjUuwXH7ykbMbBHfCBkrjaG9AypkvLlHymmath48lOXQru/nByDYQVi/KXn1fge9PtNA==" saltValue="K19iw11Oiq05wm1mPIKVDQ==" spinCount="100000" sqref="D232" name="Rango4_6"/>
    <protectedRange algorithmName="SHA-512" hashValue="oAofLzPsEABz+g8s4EYjUuwXH7ykbMbBHfCBkrjaG9AypkvLlHymmath48lOXQru/nByDYQVi/KXn1fge9PtNA==" saltValue="K19iw11Oiq05wm1mPIKVDQ==" spinCount="100000" sqref="D234" name="Rango4_7"/>
    <protectedRange algorithmName="SHA-512" hashValue="oAofLzPsEABz+g8s4EYjUuwXH7ykbMbBHfCBkrjaG9AypkvLlHymmath48lOXQru/nByDYQVi/KXn1fge9PtNA==" saltValue="K19iw11Oiq05wm1mPIKVDQ==" spinCount="100000" sqref="D236" name="Rango4_8"/>
    <protectedRange algorithmName="SHA-512" hashValue="oAofLzPsEABz+g8s4EYjUuwXH7ykbMbBHfCBkrjaG9AypkvLlHymmath48lOXQru/nByDYQVi/KXn1fge9PtNA==" saltValue="K19iw11Oiq05wm1mPIKVDQ==" spinCount="100000" sqref="D239" name="Rango4_9"/>
    <protectedRange algorithmName="SHA-512" hashValue="oAofLzPsEABz+g8s4EYjUuwXH7ykbMbBHfCBkrjaG9AypkvLlHymmath48lOXQru/nByDYQVi/KXn1fge9PtNA==" saltValue="K19iw11Oiq05wm1mPIKVDQ==" spinCount="100000" sqref="D233" name="Rango4_10"/>
    <protectedRange algorithmName="SHA-512" hashValue="oAofLzPsEABz+g8s4EYjUuwXH7ykbMbBHfCBkrjaG9AypkvLlHymmath48lOXQru/nByDYQVi/KXn1fge9PtNA==" saltValue="K19iw11Oiq05wm1mPIKVDQ==" spinCount="100000" sqref="D235" name="Rango4_11"/>
    <protectedRange algorithmName="SHA-512" hashValue="oAofLzPsEABz+g8s4EYjUuwXH7ykbMbBHfCBkrjaG9AypkvLlHymmath48lOXQru/nByDYQVi/KXn1fge9PtNA==" saltValue="K19iw11Oiq05wm1mPIKVDQ==" spinCount="100000" sqref="D237" name="Rango4_12"/>
    <protectedRange algorithmName="SHA-512" hashValue="oAofLzPsEABz+g8s4EYjUuwXH7ykbMbBHfCBkrjaG9AypkvLlHymmath48lOXQru/nByDYQVi/KXn1fge9PtNA==" saltValue="K19iw11Oiq05wm1mPIKVDQ==" spinCount="100000" sqref="D238" name="Rango4_13"/>
    <protectedRange algorithmName="SHA-512" hashValue="oAofLzPsEABz+g8s4EYjUuwXH7ykbMbBHfCBkrjaG9AypkvLlHymmath48lOXQru/nByDYQVi/KXn1fge9PtNA==" saltValue="K19iw11Oiq05wm1mPIKVDQ==" spinCount="100000" sqref="D240" name="Rango4_14"/>
    <protectedRange algorithmName="SHA-512" hashValue="oAofLzPsEABz+g8s4EYjUuwXH7ykbMbBHfCBkrjaG9AypkvLlHymmath48lOXQru/nByDYQVi/KXn1fge9PtNA==" saltValue="K19iw11Oiq05wm1mPIKVDQ==" spinCount="100000" sqref="D244" name="Rango4_15"/>
    <protectedRange algorithmName="SHA-512" hashValue="oAofLzPsEABz+g8s4EYjUuwXH7ykbMbBHfCBkrjaG9AypkvLlHymmath48lOXQru/nByDYQVi/KXn1fge9PtNA==" saltValue="K19iw11Oiq05wm1mPIKVDQ==" spinCount="100000" sqref="D252" name="Rango4_16"/>
    <protectedRange algorithmName="SHA-512" hashValue="oAofLzPsEABz+g8s4EYjUuwXH7ykbMbBHfCBkrjaG9AypkvLlHymmath48lOXQru/nByDYQVi/KXn1fge9PtNA==" saltValue="K19iw11Oiq05wm1mPIKVDQ==" spinCount="100000" sqref="D253" name="Rango4_17"/>
    <protectedRange algorithmName="SHA-512" hashValue="oAofLzPsEABz+g8s4EYjUuwXH7ykbMbBHfCBkrjaG9AypkvLlHymmath48lOXQru/nByDYQVi/KXn1fge9PtNA==" saltValue="K19iw11Oiq05wm1mPIKVDQ==" spinCount="100000" sqref="D254" name="Rango4_18"/>
    <protectedRange algorithmName="SHA-512" hashValue="oAofLzPsEABz+g8s4EYjUuwXH7ykbMbBHfCBkrjaG9AypkvLlHymmath48lOXQru/nByDYQVi/KXn1fge9PtNA==" saltValue="K19iw11Oiq05wm1mPIKVDQ==" spinCount="100000" sqref="D256" name="Rango4_19"/>
    <protectedRange algorithmName="SHA-512" hashValue="oAofLzPsEABz+g8s4EYjUuwXH7ykbMbBHfCBkrjaG9AypkvLlHymmath48lOXQru/nByDYQVi/KXn1fge9PtNA==" saltValue="K19iw11Oiq05wm1mPIKVDQ==" spinCount="100000" sqref="D257" name="Rango4_20"/>
    <protectedRange algorithmName="SHA-512" hashValue="oAofLzPsEABz+g8s4EYjUuwXH7ykbMbBHfCBkrjaG9AypkvLlHymmath48lOXQru/nByDYQVi/KXn1fge9PtNA==" saltValue="K19iw11Oiq05wm1mPIKVDQ==" spinCount="100000" sqref="D258" name="Rango4_21"/>
    <protectedRange algorithmName="SHA-512" hashValue="oAofLzPsEABz+g8s4EYjUuwXH7ykbMbBHfCBkrjaG9AypkvLlHymmath48lOXQru/nByDYQVi/KXn1fge9PtNA==" saltValue="K19iw11Oiq05wm1mPIKVDQ==" spinCount="100000" sqref="D251" name="Rango4_22"/>
    <protectedRange algorithmName="SHA-512" hashValue="oAofLzPsEABz+g8s4EYjUuwXH7ykbMbBHfCBkrjaG9AypkvLlHymmath48lOXQru/nByDYQVi/KXn1fge9PtNA==" saltValue="K19iw11Oiq05wm1mPIKVDQ==" spinCount="100000" sqref="D259" name="Rango4_23"/>
    <protectedRange algorithmName="SHA-512" hashValue="oAofLzPsEABz+g8s4EYjUuwXH7ykbMbBHfCBkrjaG9AypkvLlHymmath48lOXQru/nByDYQVi/KXn1fge9PtNA==" saltValue="K19iw11Oiq05wm1mPIKVDQ==" spinCount="100000" sqref="D262" name="Rango4_24"/>
    <protectedRange algorithmName="SHA-512" hashValue="oAofLzPsEABz+g8s4EYjUuwXH7ykbMbBHfCBkrjaG9AypkvLlHymmath48lOXQru/nByDYQVi/KXn1fge9PtNA==" saltValue="K19iw11Oiq05wm1mPIKVDQ==" spinCount="100000" sqref="D263" name="Rango4_25"/>
    <protectedRange algorithmName="SHA-512" hashValue="oAofLzPsEABz+g8s4EYjUuwXH7ykbMbBHfCBkrjaG9AypkvLlHymmath48lOXQru/nByDYQVi/KXn1fge9PtNA==" saltValue="K19iw11Oiq05wm1mPIKVDQ==" spinCount="100000" sqref="D264" name="Rango4_26"/>
    <protectedRange algorithmName="SHA-512" hashValue="oAofLzPsEABz+g8s4EYjUuwXH7ykbMbBHfCBkrjaG9AypkvLlHymmath48lOXQru/nByDYQVi/KXn1fge9PtNA==" saltValue="K19iw11Oiq05wm1mPIKVDQ==" spinCount="100000" sqref="D265" name="Rango4_27"/>
    <protectedRange algorithmName="SHA-512" hashValue="oAofLzPsEABz+g8s4EYjUuwXH7ykbMbBHfCBkrjaG9AypkvLlHymmath48lOXQru/nByDYQVi/KXn1fge9PtNA==" saltValue="K19iw11Oiq05wm1mPIKVDQ==" spinCount="100000" sqref="D270" name="Rango4_28"/>
    <protectedRange algorithmName="SHA-512" hashValue="oAofLzPsEABz+g8s4EYjUuwXH7ykbMbBHfCBkrjaG9AypkvLlHymmath48lOXQru/nByDYQVi/KXn1fge9PtNA==" saltValue="K19iw11Oiq05wm1mPIKVDQ==" spinCount="100000" sqref="D271" name="Rango4_29"/>
    <protectedRange algorithmName="SHA-512" hashValue="oAofLzPsEABz+g8s4EYjUuwXH7ykbMbBHfCBkrjaG9AypkvLlHymmath48lOXQru/nByDYQVi/KXn1fge9PtNA==" saltValue="K19iw11Oiq05wm1mPIKVDQ==" spinCount="100000" sqref="D276" name="Rango4_30"/>
    <protectedRange algorithmName="SHA-512" hashValue="oAofLzPsEABz+g8s4EYjUuwXH7ykbMbBHfCBkrjaG9AypkvLlHymmath48lOXQru/nByDYQVi/KXn1fge9PtNA==" saltValue="K19iw11Oiq05wm1mPIKVDQ==" spinCount="100000" sqref="D277" name="Rango4_31"/>
  </protectedRanges>
  <autoFilter ref="A1:O284" xr:uid="{329E6D9E-686A-4183-92BF-9B0AF16F6985}">
    <filterColumn colId="5">
      <filters>
        <filter val="124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DD99E-A2C7-4E25-8FB0-84DFB4FA4937}">
  <dimension ref="A1:L39"/>
  <sheetViews>
    <sheetView tabSelected="1" workbookViewId="0">
      <selection activeCell="L9" sqref="L9"/>
    </sheetView>
  </sheetViews>
  <sheetFormatPr baseColWidth="10" defaultRowHeight="15" x14ac:dyDescent="0.25"/>
  <cols>
    <col min="1" max="1" width="15.5703125" bestFit="1" customWidth="1"/>
    <col min="2" max="2" width="68.85546875" bestFit="1" customWidth="1"/>
  </cols>
  <sheetData>
    <row r="1" spans="1:12" ht="20.25" x14ac:dyDescent="0.25">
      <c r="A1" s="3" t="s">
        <v>574</v>
      </c>
      <c r="B1" s="3" t="s">
        <v>575</v>
      </c>
    </row>
    <row r="2" spans="1:12" ht="22.5" x14ac:dyDescent="0.3">
      <c r="A2" s="7" t="s">
        <v>648</v>
      </c>
      <c r="B2" s="8" t="s">
        <v>582</v>
      </c>
      <c r="E2" t="str">
        <f>+"'"&amp;A2&amp;"'"</f>
        <v>'CDS06124'</v>
      </c>
      <c r="F2" t="s">
        <v>654</v>
      </c>
      <c r="G2" t="str">
        <f>+"'"&amp;B2&amp;"'"</f>
        <v>'Chanitos Snack'</v>
      </c>
      <c r="H2" t="s">
        <v>654</v>
      </c>
      <c r="I2" t="s">
        <v>655</v>
      </c>
      <c r="L2">
        <v>1</v>
      </c>
    </row>
    <row r="3" spans="1:12" ht="22.5" x14ac:dyDescent="0.3">
      <c r="A3" s="8" t="s">
        <v>630</v>
      </c>
      <c r="B3" s="8" t="s">
        <v>631</v>
      </c>
      <c r="E3" t="str">
        <f t="shared" ref="E3:E39" si="0">+"'"&amp;A3&amp;"'"</f>
        <v>'CCL02114'</v>
      </c>
      <c r="F3" t="s">
        <v>654</v>
      </c>
      <c r="G3" t="str">
        <f t="shared" ref="G3:G39" si="1">+"'"&amp;B3&amp;"'"</f>
        <v>'Chanitos Classic Granel'</v>
      </c>
      <c r="H3" t="s">
        <v>654</v>
      </c>
      <c r="I3" t="s">
        <v>656</v>
      </c>
      <c r="L3">
        <f>+L2+1</f>
        <v>2</v>
      </c>
    </row>
    <row r="4" spans="1:12" ht="22.5" x14ac:dyDescent="0.3">
      <c r="A4" s="8" t="s">
        <v>634</v>
      </c>
      <c r="B4" s="8" t="s">
        <v>637</v>
      </c>
      <c r="E4" t="str">
        <f t="shared" si="0"/>
        <v>'CDM10137'</v>
      </c>
      <c r="F4" t="s">
        <v>654</v>
      </c>
      <c r="G4" t="str">
        <f t="shared" si="1"/>
        <v>'Chanitos Dominico 1ra'</v>
      </c>
      <c r="H4" t="s">
        <v>654</v>
      </c>
      <c r="I4" t="s">
        <v>657</v>
      </c>
      <c r="L4">
        <f t="shared" ref="L4:L39" si="2">+L3+1</f>
        <v>3</v>
      </c>
    </row>
    <row r="5" spans="1:12" ht="22.5" x14ac:dyDescent="0.3">
      <c r="A5" s="7" t="s">
        <v>627</v>
      </c>
      <c r="B5" s="8" t="s">
        <v>628</v>
      </c>
      <c r="E5" t="str">
        <f t="shared" si="0"/>
        <v>'CDM10138'</v>
      </c>
      <c r="F5" t="s">
        <v>654</v>
      </c>
      <c r="G5" t="str">
        <f t="shared" si="1"/>
        <v>'Chanitos Dominico 2da'</v>
      </c>
      <c r="H5" t="s">
        <v>654</v>
      </c>
      <c r="I5" t="s">
        <v>658</v>
      </c>
      <c r="L5">
        <f t="shared" si="2"/>
        <v>4</v>
      </c>
    </row>
    <row r="6" spans="1:12" ht="22.5" x14ac:dyDescent="0.3">
      <c r="A6" s="7" t="s">
        <v>591</v>
      </c>
      <c r="B6" s="8" t="s">
        <v>592</v>
      </c>
      <c r="E6" t="str">
        <f t="shared" si="0"/>
        <v>'CDS04122'</v>
      </c>
      <c r="F6" t="s">
        <v>654</v>
      </c>
      <c r="G6" t="str">
        <f t="shared" si="1"/>
        <v>'Chanitos Cha Cha Cha (DS) Granel'</v>
      </c>
      <c r="H6" t="s">
        <v>654</v>
      </c>
      <c r="I6" t="s">
        <v>659</v>
      </c>
      <c r="L6">
        <f t="shared" si="2"/>
        <v>5</v>
      </c>
    </row>
    <row r="7" spans="1:12" ht="22.5" x14ac:dyDescent="0.3">
      <c r="A7" s="8" t="s">
        <v>643</v>
      </c>
      <c r="B7" s="8" t="s">
        <v>586</v>
      </c>
      <c r="E7" t="str">
        <f t="shared" si="0"/>
        <v>'CDS04123'</v>
      </c>
      <c r="F7" t="s">
        <v>654</v>
      </c>
      <c r="G7" t="str">
        <f t="shared" si="1"/>
        <v>'Chanitos Premium Granel'</v>
      </c>
      <c r="H7" t="s">
        <v>654</v>
      </c>
      <c r="I7" t="s">
        <v>660</v>
      </c>
      <c r="L7">
        <f t="shared" si="2"/>
        <v>6</v>
      </c>
    </row>
    <row r="8" spans="1:12" ht="22.5" x14ac:dyDescent="0.3">
      <c r="A8" s="8" t="s">
        <v>644</v>
      </c>
      <c r="B8" s="8" t="s">
        <v>584</v>
      </c>
      <c r="E8" t="str">
        <f t="shared" si="0"/>
        <v>'CDS04125'</v>
      </c>
      <c r="F8" t="s">
        <v>654</v>
      </c>
      <c r="G8" t="str">
        <f t="shared" si="1"/>
        <v>'Chanitos Premium Tarima Chep'</v>
      </c>
      <c r="H8" t="s">
        <v>654</v>
      </c>
      <c r="I8" t="s">
        <v>661</v>
      </c>
      <c r="L8">
        <f t="shared" si="2"/>
        <v>7</v>
      </c>
    </row>
    <row r="9" spans="1:12" ht="22.5" x14ac:dyDescent="0.3">
      <c r="A9" s="7" t="s">
        <v>589</v>
      </c>
      <c r="B9" s="8" t="s">
        <v>590</v>
      </c>
      <c r="E9" t="str">
        <f t="shared" si="0"/>
        <v>'CMN05123'</v>
      </c>
      <c r="F9" t="s">
        <v>654</v>
      </c>
      <c r="G9" t="str">
        <f t="shared" si="1"/>
        <v>'Chanitos Manitas Granel'</v>
      </c>
      <c r="H9" t="s">
        <v>654</v>
      </c>
      <c r="I9" t="s">
        <v>662</v>
      </c>
      <c r="L9">
        <f t="shared" si="2"/>
        <v>8</v>
      </c>
    </row>
    <row r="10" spans="1:12" ht="22.5" x14ac:dyDescent="0.3">
      <c r="A10" s="7" t="s">
        <v>576</v>
      </c>
      <c r="B10" s="8" t="s">
        <v>577</v>
      </c>
      <c r="E10" t="str">
        <f t="shared" si="0"/>
        <v>'CPL08133'</v>
      </c>
      <c r="F10" t="s">
        <v>654</v>
      </c>
      <c r="G10" t="str">
        <f t="shared" si="1"/>
        <v>'Chanitos Plantain 50lb Tarima Americana'</v>
      </c>
      <c r="H10" t="s">
        <v>654</v>
      </c>
      <c r="I10" t="s">
        <v>663</v>
      </c>
      <c r="L10">
        <f t="shared" si="2"/>
        <v>9</v>
      </c>
    </row>
    <row r="11" spans="1:12" ht="22.5" x14ac:dyDescent="0.3">
      <c r="A11" s="7" t="s">
        <v>599</v>
      </c>
      <c r="B11" s="8" t="s">
        <v>600</v>
      </c>
      <c r="E11" t="str">
        <f t="shared" si="0"/>
        <v>'CPL08134'</v>
      </c>
      <c r="F11" t="s">
        <v>654</v>
      </c>
      <c r="G11" t="str">
        <f t="shared" si="1"/>
        <v>'Chanitos Plantain 20Kg Tarima Americana'</v>
      </c>
      <c r="H11" t="s">
        <v>654</v>
      </c>
      <c r="I11" t="s">
        <v>664</v>
      </c>
      <c r="L11">
        <f t="shared" si="2"/>
        <v>10</v>
      </c>
    </row>
    <row r="12" spans="1:12" ht="22.5" x14ac:dyDescent="0.3">
      <c r="A12" s="7" t="s">
        <v>601</v>
      </c>
      <c r="B12" s="8" t="s">
        <v>602</v>
      </c>
      <c r="E12" t="str">
        <f t="shared" si="0"/>
        <v>'CPL08141'</v>
      </c>
      <c r="F12" t="s">
        <v>654</v>
      </c>
      <c r="G12" t="str">
        <f t="shared" si="1"/>
        <v>'Chanitos Plantain 20Kg Tarima Chep'</v>
      </c>
      <c r="H12" t="s">
        <v>654</v>
      </c>
      <c r="I12" t="s">
        <v>665</v>
      </c>
      <c r="L12">
        <f t="shared" si="2"/>
        <v>11</v>
      </c>
    </row>
    <row r="13" spans="1:12" ht="22.5" x14ac:dyDescent="0.3">
      <c r="A13" s="7" t="s">
        <v>585</v>
      </c>
      <c r="B13" s="8" t="s">
        <v>586</v>
      </c>
      <c r="E13" t="str">
        <f t="shared" si="0"/>
        <v>'CPR01101'</v>
      </c>
      <c r="F13" t="s">
        <v>654</v>
      </c>
      <c r="G13" t="str">
        <f t="shared" si="1"/>
        <v>'Chanitos Premium Granel'</v>
      </c>
      <c r="H13" t="s">
        <v>654</v>
      </c>
      <c r="I13" t="s">
        <v>666</v>
      </c>
      <c r="L13">
        <f t="shared" si="2"/>
        <v>12</v>
      </c>
    </row>
    <row r="14" spans="1:12" ht="22.5" x14ac:dyDescent="0.3">
      <c r="A14" s="7" t="s">
        <v>583</v>
      </c>
      <c r="B14" s="8" t="s">
        <v>584</v>
      </c>
      <c r="E14" t="str">
        <f t="shared" si="0"/>
        <v>'CPR01102'</v>
      </c>
      <c r="F14" t="s">
        <v>654</v>
      </c>
      <c r="G14" t="str">
        <f t="shared" si="1"/>
        <v>'Chanitos Premium Tarima Chep'</v>
      </c>
      <c r="H14" t="s">
        <v>654</v>
      </c>
      <c r="I14" t="s">
        <v>667</v>
      </c>
      <c r="L14">
        <f t="shared" si="2"/>
        <v>13</v>
      </c>
    </row>
    <row r="15" spans="1:12" ht="22.5" x14ac:dyDescent="0.3">
      <c r="A15" s="7" t="s">
        <v>595</v>
      </c>
      <c r="B15" s="8" t="s">
        <v>596</v>
      </c>
      <c r="E15" t="str">
        <f t="shared" si="0"/>
        <v>'CPR01103'</v>
      </c>
      <c r="F15" t="s">
        <v>654</v>
      </c>
      <c r="G15" t="str">
        <f t="shared" si="1"/>
        <v>'Chanitos Premium Tarima Americana'</v>
      </c>
      <c r="H15" t="s">
        <v>654</v>
      </c>
      <c r="I15" t="s">
        <v>668</v>
      </c>
      <c r="L15">
        <f t="shared" si="2"/>
        <v>14</v>
      </c>
    </row>
    <row r="16" spans="1:12" ht="22.5" x14ac:dyDescent="0.3">
      <c r="A16" s="8" t="s">
        <v>635</v>
      </c>
      <c r="B16" s="8" t="s">
        <v>636</v>
      </c>
      <c r="E16" t="str">
        <f t="shared" si="0"/>
        <v>'CPR01104'</v>
      </c>
      <c r="F16" t="s">
        <v>654</v>
      </c>
      <c r="G16" t="str">
        <f t="shared" si="1"/>
        <v>'Chanitos Premium EUA Tarima Americana'</v>
      </c>
      <c r="H16" t="s">
        <v>654</v>
      </c>
      <c r="I16" t="s">
        <v>669</v>
      </c>
      <c r="L16">
        <f t="shared" si="2"/>
        <v>15</v>
      </c>
    </row>
    <row r="17" spans="1:12" ht="22.5" x14ac:dyDescent="0.3">
      <c r="A17" s="7" t="s">
        <v>620</v>
      </c>
      <c r="B17" s="8" t="s">
        <v>621</v>
      </c>
      <c r="E17" t="str">
        <f t="shared" si="0"/>
        <v>'CPR01106'</v>
      </c>
      <c r="F17" t="s">
        <v>654</v>
      </c>
      <c r="G17" t="str">
        <f t="shared" si="1"/>
        <v>'Chanitos Premium 22XU CP34 Union'</v>
      </c>
      <c r="H17" t="s">
        <v>654</v>
      </c>
      <c r="I17" t="s">
        <v>670</v>
      </c>
      <c r="L17">
        <f t="shared" si="2"/>
        <v>16</v>
      </c>
    </row>
    <row r="18" spans="1:12" ht="22.5" x14ac:dyDescent="0.3">
      <c r="A18" s="7" t="s">
        <v>624</v>
      </c>
      <c r="B18" s="8" t="s">
        <v>625</v>
      </c>
      <c r="E18" t="str">
        <f t="shared" si="0"/>
        <v>'CPR01107'</v>
      </c>
      <c r="F18" t="s">
        <v>654</v>
      </c>
      <c r="G18" t="str">
        <f t="shared" si="1"/>
        <v>'Chanitos Premium 22XU CP30 Union'</v>
      </c>
      <c r="H18" t="s">
        <v>654</v>
      </c>
      <c r="I18" t="s">
        <v>671</v>
      </c>
      <c r="L18">
        <f t="shared" si="2"/>
        <v>17</v>
      </c>
    </row>
    <row r="19" spans="1:12" ht="22.5" x14ac:dyDescent="0.3">
      <c r="A19" s="7" t="s">
        <v>622</v>
      </c>
      <c r="B19" s="8" t="s">
        <v>623</v>
      </c>
      <c r="E19" t="str">
        <f t="shared" si="0"/>
        <v>'CPR01108'</v>
      </c>
      <c r="F19" t="s">
        <v>654</v>
      </c>
      <c r="G19" t="str">
        <f t="shared" si="1"/>
        <v>'Chanitos Premium 22XU CP26 Union'</v>
      </c>
      <c r="H19" t="s">
        <v>654</v>
      </c>
      <c r="I19" t="s">
        <v>672</v>
      </c>
      <c r="L19">
        <f t="shared" si="2"/>
        <v>18</v>
      </c>
    </row>
    <row r="20" spans="1:12" ht="22.5" x14ac:dyDescent="0.3">
      <c r="A20" s="7" t="s">
        <v>603</v>
      </c>
      <c r="B20" s="8" t="s">
        <v>604</v>
      </c>
      <c r="E20" t="str">
        <f t="shared" si="0"/>
        <v>'CPR01109'</v>
      </c>
      <c r="F20" t="s">
        <v>654</v>
      </c>
      <c r="G20" t="str">
        <f t="shared" si="1"/>
        <v>'Chanitos Premium 22XU CP26 WR'</v>
      </c>
      <c r="H20" t="s">
        <v>654</v>
      </c>
      <c r="I20" t="s">
        <v>673</v>
      </c>
      <c r="L20">
        <f t="shared" si="2"/>
        <v>19</v>
      </c>
    </row>
    <row r="21" spans="1:12" ht="22.5" x14ac:dyDescent="0.3">
      <c r="A21" s="7" t="s">
        <v>615</v>
      </c>
      <c r="B21" s="8" t="s">
        <v>633</v>
      </c>
      <c r="E21" t="str">
        <f t="shared" si="0"/>
        <v>'CPR01111'</v>
      </c>
      <c r="F21" t="s">
        <v>654</v>
      </c>
      <c r="G21" t="str">
        <f t="shared" si="1"/>
        <v>'Chanitos Premium 22XU CP28 Royal'</v>
      </c>
      <c r="H21" t="s">
        <v>654</v>
      </c>
      <c r="I21" t="s">
        <v>674</v>
      </c>
      <c r="L21">
        <f t="shared" si="2"/>
        <v>20</v>
      </c>
    </row>
    <row r="22" spans="1:12" ht="22.5" x14ac:dyDescent="0.3">
      <c r="A22" s="7" t="s">
        <v>618</v>
      </c>
      <c r="B22" s="8" t="s">
        <v>619</v>
      </c>
      <c r="E22" t="str">
        <f t="shared" si="0"/>
        <v>'CPR01112'</v>
      </c>
      <c r="F22" t="s">
        <v>654</v>
      </c>
      <c r="G22" t="str">
        <f t="shared" si="1"/>
        <v>'Chanitos Premium 22XU CL25 Royal'</v>
      </c>
      <c r="H22" t="s">
        <v>654</v>
      </c>
      <c r="I22" t="s">
        <v>675</v>
      </c>
      <c r="L22">
        <f t="shared" si="2"/>
        <v>21</v>
      </c>
    </row>
    <row r="23" spans="1:12" ht="22.5" x14ac:dyDescent="0.3">
      <c r="A23" s="7" t="s">
        <v>616</v>
      </c>
      <c r="B23" s="8" t="s">
        <v>617</v>
      </c>
      <c r="E23" t="str">
        <f t="shared" si="0"/>
        <v>'CPR01113'</v>
      </c>
      <c r="F23" t="s">
        <v>654</v>
      </c>
      <c r="G23" t="str">
        <f t="shared" si="1"/>
        <v>'Chanitos Premium 22XU CL13 Royal'</v>
      </c>
      <c r="H23" t="s">
        <v>654</v>
      </c>
      <c r="I23" t="s">
        <v>676</v>
      </c>
      <c r="L23">
        <f t="shared" si="2"/>
        <v>22</v>
      </c>
    </row>
    <row r="24" spans="1:12" ht="22.5" x14ac:dyDescent="0.3">
      <c r="A24" s="8" t="s">
        <v>645</v>
      </c>
      <c r="B24" s="9" t="s">
        <v>646</v>
      </c>
      <c r="E24" t="str">
        <f t="shared" si="0"/>
        <v>'CPR01114'</v>
      </c>
      <c r="F24" t="s">
        <v>654</v>
      </c>
      <c r="G24" t="str">
        <f t="shared" si="1"/>
        <v>'Platano de Chiapas BAE UPC 3237'</v>
      </c>
      <c r="H24" t="s">
        <v>654</v>
      </c>
      <c r="I24" t="s">
        <v>677</v>
      </c>
      <c r="L24">
        <f t="shared" si="2"/>
        <v>23</v>
      </c>
    </row>
    <row r="25" spans="1:12" ht="22.5" x14ac:dyDescent="0.3">
      <c r="A25" s="8" t="s">
        <v>642</v>
      </c>
      <c r="B25" s="8" t="s">
        <v>633</v>
      </c>
      <c r="E25" t="str">
        <f t="shared" si="0"/>
        <v>'CPR01115'</v>
      </c>
      <c r="F25" t="s">
        <v>654</v>
      </c>
      <c r="G25" t="str">
        <f t="shared" si="1"/>
        <v>'Chanitos Premium 22XU CP28 Royal'</v>
      </c>
      <c r="H25" t="s">
        <v>654</v>
      </c>
      <c r="I25" t="s">
        <v>678</v>
      </c>
      <c r="L25">
        <f t="shared" si="2"/>
        <v>24</v>
      </c>
    </row>
    <row r="26" spans="1:12" ht="22.5" x14ac:dyDescent="0.3">
      <c r="A26" s="8" t="s">
        <v>647</v>
      </c>
      <c r="B26" s="8" t="s">
        <v>632</v>
      </c>
      <c r="E26" t="str">
        <f t="shared" si="0"/>
        <v>'CPR01116'</v>
      </c>
      <c r="F26" t="s">
        <v>654</v>
      </c>
      <c r="G26" t="str">
        <f t="shared" si="1"/>
        <v>'Chanitos Premium 22XU CP26 Royal'</v>
      </c>
      <c r="H26" t="s">
        <v>654</v>
      </c>
      <c r="I26" t="s">
        <v>679</v>
      </c>
      <c r="L26">
        <f t="shared" si="2"/>
        <v>25</v>
      </c>
    </row>
    <row r="27" spans="1:12" ht="22.5" x14ac:dyDescent="0.3">
      <c r="A27" s="7" t="s">
        <v>578</v>
      </c>
      <c r="B27" s="8" t="s">
        <v>579</v>
      </c>
      <c r="E27" t="str">
        <f t="shared" si="0"/>
        <v>'CPR03117'</v>
      </c>
      <c r="F27" t="s">
        <v>654</v>
      </c>
      <c r="G27" t="str">
        <f t="shared" si="1"/>
        <v>'Chanitos Cha Cha Cha 22XU CP26 Mar Kodawari'</v>
      </c>
      <c r="H27" t="s">
        <v>654</v>
      </c>
      <c r="I27" t="s">
        <v>680</v>
      </c>
      <c r="L27">
        <f t="shared" si="2"/>
        <v>26</v>
      </c>
    </row>
    <row r="28" spans="1:12" ht="22.5" x14ac:dyDescent="0.3">
      <c r="A28" s="7" t="s">
        <v>580</v>
      </c>
      <c r="B28" s="8" t="s">
        <v>581</v>
      </c>
      <c r="E28" t="str">
        <f t="shared" si="0"/>
        <v>'CPR03119'</v>
      </c>
      <c r="F28" t="s">
        <v>654</v>
      </c>
      <c r="G28" t="str">
        <f t="shared" si="1"/>
        <v>'Chanitos Cha Cha Cha 22XU  CP34 Mar Kodawari'</v>
      </c>
      <c r="H28" t="s">
        <v>654</v>
      </c>
      <c r="I28" t="s">
        <v>681</v>
      </c>
      <c r="L28">
        <f t="shared" si="2"/>
        <v>27</v>
      </c>
    </row>
    <row r="29" spans="1:12" ht="22.5" x14ac:dyDescent="0.3">
      <c r="A29" s="7" t="s">
        <v>597</v>
      </c>
      <c r="B29" s="8" t="s">
        <v>598</v>
      </c>
      <c r="E29" t="str">
        <f t="shared" si="0"/>
        <v>'CPR03123'</v>
      </c>
      <c r="F29" t="s">
        <v>654</v>
      </c>
      <c r="G29" t="str">
        <f t="shared" si="1"/>
        <v>'Chanitos Premium Tarima Chep Banda 3b'</v>
      </c>
      <c r="H29" t="s">
        <v>654</v>
      </c>
      <c r="I29" t="s">
        <v>682</v>
      </c>
      <c r="L29">
        <f t="shared" si="2"/>
        <v>28</v>
      </c>
    </row>
    <row r="30" spans="1:12" ht="22.5" x14ac:dyDescent="0.3">
      <c r="A30" s="8" t="s">
        <v>638</v>
      </c>
      <c r="B30" s="8" t="s">
        <v>639</v>
      </c>
      <c r="E30" t="str">
        <f t="shared" si="0"/>
        <v>'CPR03124'</v>
      </c>
      <c r="F30" t="s">
        <v>654</v>
      </c>
      <c r="G30" t="str">
        <f t="shared" si="1"/>
        <v>'Chanitos Cha Cha Cha 22XU CP27 Mar Kodawari'</v>
      </c>
      <c r="H30" t="s">
        <v>654</v>
      </c>
      <c r="I30" t="s">
        <v>683</v>
      </c>
      <c r="L30">
        <f t="shared" si="2"/>
        <v>29</v>
      </c>
    </row>
    <row r="31" spans="1:12" ht="22.5" x14ac:dyDescent="0.3">
      <c r="A31" s="7" t="s">
        <v>607</v>
      </c>
      <c r="B31" s="8" t="s">
        <v>608</v>
      </c>
      <c r="E31" t="str">
        <f t="shared" si="0"/>
        <v>'CRG07125'</v>
      </c>
      <c r="F31" t="s">
        <v>654</v>
      </c>
      <c r="G31" t="str">
        <f t="shared" si="1"/>
        <v>'Chanitos Organic Banded Tape Verde'</v>
      </c>
      <c r="H31" t="s">
        <v>654</v>
      </c>
      <c r="I31" t="s">
        <v>684</v>
      </c>
      <c r="L31">
        <f t="shared" si="2"/>
        <v>30</v>
      </c>
    </row>
    <row r="32" spans="1:12" ht="22.5" x14ac:dyDescent="0.3">
      <c r="A32" s="7" t="s">
        <v>609</v>
      </c>
      <c r="B32" s="8" t="s">
        <v>610</v>
      </c>
      <c r="E32" t="str">
        <f t="shared" si="0"/>
        <v>'CRG07127'</v>
      </c>
      <c r="F32" t="s">
        <v>654</v>
      </c>
      <c r="G32" t="str">
        <f t="shared" si="1"/>
        <v>'Chanitos Organic 3lb Banded Tape Morado'</v>
      </c>
      <c r="H32" t="s">
        <v>654</v>
      </c>
      <c r="I32" t="s">
        <v>685</v>
      </c>
      <c r="L32">
        <f t="shared" si="2"/>
        <v>31</v>
      </c>
    </row>
    <row r="33" spans="1:12" ht="22.5" x14ac:dyDescent="0.3">
      <c r="A33" s="7" t="s">
        <v>593</v>
      </c>
      <c r="B33" s="8" t="s">
        <v>594</v>
      </c>
      <c r="E33" t="str">
        <f t="shared" si="0"/>
        <v>'CRG07128'</v>
      </c>
      <c r="F33" t="s">
        <v>654</v>
      </c>
      <c r="G33" t="str">
        <f t="shared" si="1"/>
        <v>'Chanitos Organic Banded Market Side Mexico'</v>
      </c>
      <c r="H33" t="s">
        <v>654</v>
      </c>
      <c r="I33" t="s">
        <v>686</v>
      </c>
      <c r="L33">
        <f t="shared" si="2"/>
        <v>32</v>
      </c>
    </row>
    <row r="34" spans="1:12" ht="22.5" x14ac:dyDescent="0.3">
      <c r="A34" s="7" t="s">
        <v>605</v>
      </c>
      <c r="B34" s="8" t="s">
        <v>606</v>
      </c>
      <c r="E34" t="str">
        <f t="shared" si="0"/>
        <v>'CRG07129'</v>
      </c>
      <c r="F34" t="s">
        <v>654</v>
      </c>
      <c r="G34" t="str">
        <f t="shared" si="1"/>
        <v>'Chanitos Organic Banded Market Side EUA'</v>
      </c>
      <c r="H34" t="s">
        <v>654</v>
      </c>
      <c r="I34" t="s">
        <v>687</v>
      </c>
      <c r="L34">
        <f t="shared" si="2"/>
        <v>33</v>
      </c>
    </row>
    <row r="35" spans="1:12" ht="22.5" x14ac:dyDescent="0.3">
      <c r="A35" s="7" t="s">
        <v>613</v>
      </c>
      <c r="B35" s="8" t="s">
        <v>614</v>
      </c>
      <c r="E35" t="str">
        <f t="shared" si="0"/>
        <v>'CRG07130'</v>
      </c>
      <c r="F35" t="s">
        <v>654</v>
      </c>
      <c r="G35" t="str">
        <f t="shared" si="1"/>
        <v>'Chanitos Organic  22XU CP28 Union'</v>
      </c>
      <c r="H35" t="s">
        <v>654</v>
      </c>
      <c r="I35" t="s">
        <v>688</v>
      </c>
      <c r="L35">
        <f t="shared" si="2"/>
        <v>34</v>
      </c>
    </row>
    <row r="36" spans="1:12" ht="22.5" x14ac:dyDescent="0.3">
      <c r="A36" s="7" t="s">
        <v>611</v>
      </c>
      <c r="B36" s="8" t="s">
        <v>612</v>
      </c>
      <c r="E36" t="str">
        <f t="shared" si="0"/>
        <v>'CRG07131'</v>
      </c>
      <c r="F36" t="s">
        <v>654</v>
      </c>
      <c r="G36" t="str">
        <f t="shared" si="1"/>
        <v>'Chanitos Organic  22XU CP34 Union'</v>
      </c>
      <c r="H36" t="s">
        <v>654</v>
      </c>
      <c r="I36" t="s">
        <v>689</v>
      </c>
      <c r="L36">
        <f t="shared" si="2"/>
        <v>35</v>
      </c>
    </row>
    <row r="37" spans="1:12" ht="22.5" x14ac:dyDescent="0.3">
      <c r="A37" s="7" t="s">
        <v>626</v>
      </c>
      <c r="B37" s="8" t="s">
        <v>629</v>
      </c>
      <c r="E37" t="str">
        <f t="shared" si="0"/>
        <v>'CRG07132'</v>
      </c>
      <c r="F37" t="s">
        <v>654</v>
      </c>
      <c r="G37" t="str">
        <f t="shared" si="1"/>
        <v>'Organic  Wild Harvest '</v>
      </c>
      <c r="H37" t="s">
        <v>654</v>
      </c>
      <c r="I37" t="s">
        <v>690</v>
      </c>
      <c r="L37">
        <f t="shared" si="2"/>
        <v>36</v>
      </c>
    </row>
    <row r="38" spans="1:12" ht="22.5" x14ac:dyDescent="0.3">
      <c r="A38" s="8" t="s">
        <v>640</v>
      </c>
      <c r="B38" s="8" t="s">
        <v>641</v>
      </c>
      <c r="E38" t="str">
        <f t="shared" si="0"/>
        <v>'CRG07133'</v>
      </c>
      <c r="F38" t="s">
        <v>654</v>
      </c>
      <c r="G38" t="str">
        <f t="shared" si="1"/>
        <v>'Chanitos Organic  Wild Harvest PLU94011'</v>
      </c>
      <c r="H38" t="s">
        <v>654</v>
      </c>
      <c r="I38" t="s">
        <v>691</v>
      </c>
      <c r="L38">
        <f t="shared" si="2"/>
        <v>37</v>
      </c>
    </row>
    <row r="39" spans="1:12" ht="22.5" x14ac:dyDescent="0.3">
      <c r="A39" s="7" t="s">
        <v>587</v>
      </c>
      <c r="B39" s="8" t="s">
        <v>588</v>
      </c>
      <c r="E39" t="str">
        <f t="shared" si="0"/>
        <v>'CSA04120'</v>
      </c>
      <c r="F39" t="s">
        <v>654</v>
      </c>
      <c r="G39" t="str">
        <f t="shared" si="1"/>
        <v>'Chanitos Cha Cha Cha (2da) Granel'</v>
      </c>
      <c r="H39" t="s">
        <v>654</v>
      </c>
      <c r="I39" t="s">
        <v>692</v>
      </c>
      <c r="L39">
        <f t="shared" si="2"/>
        <v>38</v>
      </c>
    </row>
  </sheetData>
  <autoFilter ref="A1:B39" xr:uid="{961DD99E-A2C7-4E25-8FB0-84DFB4FA4937}">
    <sortState xmlns:xlrd2="http://schemas.microsoft.com/office/spreadsheetml/2017/richdata2" ref="A2:B39">
      <sortCondition ref="A1:A39"/>
    </sortState>
  </autoFilter>
  <conditionalFormatting sqref="A1:A1048576">
    <cfRule type="duplicateValues" dxfId="1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9C8D2-7547-4F48-9652-D384EE33666F}">
  <dimension ref="A1:N458"/>
  <sheetViews>
    <sheetView workbookViewId="0">
      <pane xSplit="1" ySplit="1" topLeftCell="B90" activePane="bottomRight" state="frozen"/>
      <selection pane="topRight" activeCell="B1" sqref="B1"/>
      <selection pane="bottomLeft" activeCell="A2" sqref="A2"/>
      <selection pane="bottomRight" activeCell="N100" sqref="N100"/>
    </sheetView>
  </sheetViews>
  <sheetFormatPr baseColWidth="10" defaultRowHeight="15" x14ac:dyDescent="0.25"/>
  <cols>
    <col min="2" max="2" width="24" customWidth="1"/>
  </cols>
  <sheetData>
    <row r="1" spans="1:14" ht="60.75" x14ac:dyDescent="0.25">
      <c r="A1" s="3" t="s">
        <v>786</v>
      </c>
      <c r="B1" s="3" t="s">
        <v>787</v>
      </c>
      <c r="C1" s="3" t="s">
        <v>782</v>
      </c>
    </row>
    <row r="2" spans="1:14" ht="22.5" x14ac:dyDescent="0.3">
      <c r="A2" s="6" t="s">
        <v>695</v>
      </c>
      <c r="B2" s="6" t="s">
        <v>696</v>
      </c>
      <c r="C2">
        <v>1</v>
      </c>
      <c r="E2" t="s">
        <v>784</v>
      </c>
      <c r="F2" s="12" t="str">
        <f>+"'"&amp;A2&amp;"'"</f>
        <v>'A01'</v>
      </c>
      <c r="G2" s="12" t="str">
        <f>+"'"&amp;B2&amp;"'"</f>
        <v>'La Santanera'</v>
      </c>
      <c r="H2" t="s">
        <v>785</v>
      </c>
      <c r="I2" t="s">
        <v>654</v>
      </c>
      <c r="J2" t="str">
        <f>+E2&amp;F2&amp;I2&amp;G2&amp;I2&amp;C2&amp;H2&amp;I2</f>
        <v>('A01','La Santanera',1),</v>
      </c>
      <c r="N2" t="s">
        <v>868</v>
      </c>
    </row>
    <row r="3" spans="1:14" ht="22.5" x14ac:dyDescent="0.25">
      <c r="A3" s="11" t="s">
        <v>695</v>
      </c>
      <c r="B3" s="11" t="s">
        <v>696</v>
      </c>
      <c r="C3">
        <v>1</v>
      </c>
      <c r="E3" t="s">
        <v>784</v>
      </c>
      <c r="F3" s="12" t="str">
        <f t="shared" ref="F3:F66" si="0">+"'"&amp;A3&amp;"'"</f>
        <v>'A01'</v>
      </c>
      <c r="G3" s="12" t="str">
        <f t="shared" ref="G3:G66" si="1">+"'"&amp;B3&amp;"'"</f>
        <v>'La Santanera'</v>
      </c>
      <c r="H3" t="s">
        <v>785</v>
      </c>
      <c r="I3" t="s">
        <v>654</v>
      </c>
      <c r="J3" t="str">
        <f t="shared" ref="J3:J66" si="2">+E3&amp;F3&amp;I3&amp;G3&amp;I3&amp;C3&amp;H3&amp;I3</f>
        <v>('A01','La Santanera',1),</v>
      </c>
      <c r="N3" t="s">
        <v>869</v>
      </c>
    </row>
    <row r="4" spans="1:14" ht="22.5" x14ac:dyDescent="0.3">
      <c r="A4" s="6" t="s">
        <v>695</v>
      </c>
      <c r="B4" s="6" t="s">
        <v>696</v>
      </c>
      <c r="C4">
        <v>1</v>
      </c>
      <c r="E4" t="s">
        <v>784</v>
      </c>
      <c r="F4" s="12" t="str">
        <f t="shared" si="0"/>
        <v>'A01'</v>
      </c>
      <c r="G4" s="12" t="str">
        <f t="shared" si="1"/>
        <v>'La Santanera'</v>
      </c>
      <c r="H4" t="s">
        <v>785</v>
      </c>
      <c r="I4" t="s">
        <v>654</v>
      </c>
      <c r="J4" t="str">
        <f t="shared" si="2"/>
        <v>('A01','La Santanera',1),</v>
      </c>
      <c r="N4" t="s">
        <v>870</v>
      </c>
    </row>
    <row r="5" spans="1:14" ht="22.5" x14ac:dyDescent="0.3">
      <c r="A5" s="6" t="s">
        <v>695</v>
      </c>
      <c r="B5" s="6" t="s">
        <v>696</v>
      </c>
      <c r="C5">
        <v>1</v>
      </c>
      <c r="E5" t="s">
        <v>784</v>
      </c>
      <c r="F5" s="12" t="str">
        <f t="shared" si="0"/>
        <v>'A01'</v>
      </c>
      <c r="G5" s="12" t="str">
        <f t="shared" si="1"/>
        <v>'La Santanera'</v>
      </c>
      <c r="H5" t="s">
        <v>785</v>
      </c>
      <c r="I5" t="s">
        <v>654</v>
      </c>
      <c r="J5" t="str">
        <f t="shared" si="2"/>
        <v>('A01','La Santanera',1),</v>
      </c>
      <c r="N5" t="s">
        <v>871</v>
      </c>
    </row>
    <row r="6" spans="1:14" ht="22.5" x14ac:dyDescent="0.25">
      <c r="A6" s="11" t="s">
        <v>788</v>
      </c>
      <c r="B6" s="11" t="s">
        <v>789</v>
      </c>
      <c r="C6">
        <v>1</v>
      </c>
      <c r="E6" t="s">
        <v>784</v>
      </c>
      <c r="F6" s="12" t="str">
        <f t="shared" si="0"/>
        <v>'A02'</v>
      </c>
      <c r="G6" s="12" t="str">
        <f t="shared" si="1"/>
        <v>'Eduardo Altuzar'</v>
      </c>
      <c r="H6" t="s">
        <v>785</v>
      </c>
      <c r="I6" t="s">
        <v>654</v>
      </c>
      <c r="J6" t="str">
        <f t="shared" si="2"/>
        <v>('A02','Eduardo Altuzar',1),</v>
      </c>
      <c r="N6" t="s">
        <v>872</v>
      </c>
    </row>
    <row r="7" spans="1:14" ht="22.5" x14ac:dyDescent="0.3">
      <c r="A7" s="6" t="s">
        <v>788</v>
      </c>
      <c r="B7" s="6" t="s">
        <v>789</v>
      </c>
      <c r="C7">
        <v>1</v>
      </c>
      <c r="E7" t="s">
        <v>784</v>
      </c>
      <c r="F7" s="12" t="str">
        <f t="shared" si="0"/>
        <v>'A02'</v>
      </c>
      <c r="G7" s="12" t="str">
        <f t="shared" si="1"/>
        <v>'Eduardo Altuzar'</v>
      </c>
      <c r="H7" t="s">
        <v>785</v>
      </c>
      <c r="I7" t="s">
        <v>654</v>
      </c>
      <c r="J7" t="str">
        <f t="shared" si="2"/>
        <v>('A02','Eduardo Altuzar',1),</v>
      </c>
      <c r="N7" t="s">
        <v>873</v>
      </c>
    </row>
    <row r="8" spans="1:14" ht="22.5" x14ac:dyDescent="0.25">
      <c r="A8" s="11" t="s">
        <v>788</v>
      </c>
      <c r="B8" s="11" t="s">
        <v>789</v>
      </c>
      <c r="C8">
        <v>1</v>
      </c>
      <c r="E8" t="s">
        <v>784</v>
      </c>
      <c r="F8" s="12" t="str">
        <f t="shared" si="0"/>
        <v>'A02'</v>
      </c>
      <c r="G8" s="12" t="str">
        <f t="shared" si="1"/>
        <v>'Eduardo Altuzar'</v>
      </c>
      <c r="H8" t="s">
        <v>785</v>
      </c>
      <c r="I8" t="s">
        <v>654</v>
      </c>
      <c r="J8" t="str">
        <f t="shared" si="2"/>
        <v>('A02','Eduardo Altuzar',1),</v>
      </c>
      <c r="N8" t="s">
        <v>874</v>
      </c>
    </row>
    <row r="9" spans="1:14" ht="22.5" x14ac:dyDescent="0.3">
      <c r="A9" s="10" t="s">
        <v>788</v>
      </c>
      <c r="B9" s="10" t="s">
        <v>789</v>
      </c>
      <c r="C9">
        <v>1</v>
      </c>
      <c r="E9" t="s">
        <v>784</v>
      </c>
      <c r="F9" s="12" t="str">
        <f t="shared" si="0"/>
        <v>'A02'</v>
      </c>
      <c r="G9" s="12" t="str">
        <f t="shared" si="1"/>
        <v>'Eduardo Altuzar'</v>
      </c>
      <c r="H9" t="s">
        <v>785</v>
      </c>
      <c r="I9" t="s">
        <v>654</v>
      </c>
      <c r="J9" t="str">
        <f t="shared" si="2"/>
        <v>('A02','Eduardo Altuzar',1),</v>
      </c>
      <c r="N9" t="s">
        <v>875</v>
      </c>
    </row>
    <row r="10" spans="1:14" ht="22.5" x14ac:dyDescent="0.3">
      <c r="A10" s="6" t="s">
        <v>788</v>
      </c>
      <c r="B10" s="6" t="s">
        <v>789</v>
      </c>
      <c r="C10">
        <v>1</v>
      </c>
      <c r="E10" t="s">
        <v>784</v>
      </c>
      <c r="F10" s="12" t="str">
        <f t="shared" si="0"/>
        <v>'A02'</v>
      </c>
      <c r="G10" s="12" t="str">
        <f t="shared" si="1"/>
        <v>'Eduardo Altuzar'</v>
      </c>
      <c r="H10" t="s">
        <v>785</v>
      </c>
      <c r="I10" t="s">
        <v>654</v>
      </c>
      <c r="J10" t="str">
        <f t="shared" si="2"/>
        <v>('A02','Eduardo Altuzar',1),</v>
      </c>
      <c r="N10" t="s">
        <v>876</v>
      </c>
    </row>
    <row r="11" spans="1:14" ht="22.5" x14ac:dyDescent="0.3">
      <c r="A11" s="6" t="s">
        <v>788</v>
      </c>
      <c r="B11" s="6" t="s">
        <v>789</v>
      </c>
      <c r="C11">
        <v>1</v>
      </c>
      <c r="E11" t="s">
        <v>784</v>
      </c>
      <c r="F11" s="12" t="str">
        <f t="shared" si="0"/>
        <v>'A02'</v>
      </c>
      <c r="G11" s="12" t="str">
        <f t="shared" si="1"/>
        <v>'Eduardo Altuzar'</v>
      </c>
      <c r="H11" t="s">
        <v>785</v>
      </c>
      <c r="I11" t="s">
        <v>654</v>
      </c>
      <c r="J11" t="str">
        <f t="shared" si="2"/>
        <v>('A02','Eduardo Altuzar',1),</v>
      </c>
      <c r="N11" t="s">
        <v>877</v>
      </c>
    </row>
    <row r="12" spans="1:14" ht="22.5" x14ac:dyDescent="0.3">
      <c r="A12" s="10" t="s">
        <v>788</v>
      </c>
      <c r="B12" s="10" t="s">
        <v>789</v>
      </c>
      <c r="C12">
        <v>1</v>
      </c>
      <c r="E12" t="s">
        <v>784</v>
      </c>
      <c r="F12" s="12" t="str">
        <f t="shared" si="0"/>
        <v>'A02'</v>
      </c>
      <c r="G12" s="12" t="str">
        <f t="shared" si="1"/>
        <v>'Eduardo Altuzar'</v>
      </c>
      <c r="H12" t="s">
        <v>785</v>
      </c>
      <c r="I12" t="s">
        <v>654</v>
      </c>
      <c r="J12" t="str">
        <f t="shared" si="2"/>
        <v>('A02','Eduardo Altuzar',1),</v>
      </c>
      <c r="N12" t="s">
        <v>878</v>
      </c>
    </row>
    <row r="13" spans="1:14" ht="22.5" x14ac:dyDescent="0.3">
      <c r="A13" s="6" t="s">
        <v>788</v>
      </c>
      <c r="B13" s="6" t="s">
        <v>789</v>
      </c>
      <c r="C13">
        <v>1</v>
      </c>
      <c r="E13" t="s">
        <v>784</v>
      </c>
      <c r="F13" s="12" t="str">
        <f t="shared" si="0"/>
        <v>'A02'</v>
      </c>
      <c r="G13" s="12" t="str">
        <f t="shared" si="1"/>
        <v>'Eduardo Altuzar'</v>
      </c>
      <c r="H13" t="s">
        <v>785</v>
      </c>
      <c r="I13" t="s">
        <v>654</v>
      </c>
      <c r="J13" t="str">
        <f t="shared" si="2"/>
        <v>('A02','Eduardo Altuzar',1),</v>
      </c>
      <c r="N13" t="s">
        <v>879</v>
      </c>
    </row>
    <row r="14" spans="1:14" ht="22.5" x14ac:dyDescent="0.25">
      <c r="A14" s="11" t="s">
        <v>788</v>
      </c>
      <c r="B14" s="11" t="s">
        <v>789</v>
      </c>
      <c r="C14">
        <v>1</v>
      </c>
      <c r="E14" t="s">
        <v>784</v>
      </c>
      <c r="F14" s="12" t="str">
        <f t="shared" si="0"/>
        <v>'A02'</v>
      </c>
      <c r="G14" s="12" t="str">
        <f t="shared" si="1"/>
        <v>'Eduardo Altuzar'</v>
      </c>
      <c r="H14" t="s">
        <v>785</v>
      </c>
      <c r="I14" t="s">
        <v>654</v>
      </c>
      <c r="J14" t="str">
        <f t="shared" si="2"/>
        <v>('A02','Eduardo Altuzar',1),</v>
      </c>
      <c r="N14" t="s">
        <v>880</v>
      </c>
    </row>
    <row r="15" spans="1:14" ht="22.5" x14ac:dyDescent="0.25">
      <c r="A15" s="11" t="s">
        <v>788</v>
      </c>
      <c r="B15" s="11" t="s">
        <v>789</v>
      </c>
      <c r="C15">
        <v>1</v>
      </c>
      <c r="E15" t="s">
        <v>784</v>
      </c>
      <c r="F15" s="12" t="str">
        <f t="shared" si="0"/>
        <v>'A02'</v>
      </c>
      <c r="G15" s="12" t="str">
        <f t="shared" si="1"/>
        <v>'Eduardo Altuzar'</v>
      </c>
      <c r="H15" t="s">
        <v>785</v>
      </c>
      <c r="I15" t="s">
        <v>654</v>
      </c>
      <c r="J15" t="str">
        <f t="shared" si="2"/>
        <v>('A02','Eduardo Altuzar',1),</v>
      </c>
      <c r="N15" t="s">
        <v>881</v>
      </c>
    </row>
    <row r="16" spans="1:14" ht="22.5" x14ac:dyDescent="0.25">
      <c r="A16" s="11" t="s">
        <v>788</v>
      </c>
      <c r="B16" s="11" t="s">
        <v>789</v>
      </c>
      <c r="C16">
        <v>1</v>
      </c>
      <c r="E16" t="s">
        <v>784</v>
      </c>
      <c r="F16" s="12" t="str">
        <f t="shared" si="0"/>
        <v>'A02'</v>
      </c>
      <c r="G16" s="12" t="str">
        <f t="shared" si="1"/>
        <v>'Eduardo Altuzar'</v>
      </c>
      <c r="H16" t="s">
        <v>785</v>
      </c>
      <c r="I16" t="s">
        <v>654</v>
      </c>
      <c r="J16" t="str">
        <f t="shared" si="2"/>
        <v>('A02','Eduardo Altuzar',1),</v>
      </c>
      <c r="N16" t="s">
        <v>882</v>
      </c>
    </row>
    <row r="17" spans="1:14" ht="22.5" x14ac:dyDescent="0.25">
      <c r="A17" s="11" t="s">
        <v>788</v>
      </c>
      <c r="B17" s="11" t="s">
        <v>789</v>
      </c>
      <c r="C17">
        <v>1</v>
      </c>
      <c r="E17" t="s">
        <v>784</v>
      </c>
      <c r="F17" s="12" t="str">
        <f t="shared" si="0"/>
        <v>'A02'</v>
      </c>
      <c r="G17" s="12" t="str">
        <f t="shared" si="1"/>
        <v>'Eduardo Altuzar'</v>
      </c>
      <c r="H17" t="s">
        <v>785</v>
      </c>
      <c r="I17" t="s">
        <v>654</v>
      </c>
      <c r="J17" t="str">
        <f t="shared" si="2"/>
        <v>('A02','Eduardo Altuzar',1),</v>
      </c>
      <c r="N17" t="s">
        <v>883</v>
      </c>
    </row>
    <row r="18" spans="1:14" ht="22.5" x14ac:dyDescent="0.25">
      <c r="A18" s="11" t="s">
        <v>788</v>
      </c>
      <c r="B18" s="11" t="s">
        <v>789</v>
      </c>
      <c r="C18">
        <v>1</v>
      </c>
      <c r="E18" t="s">
        <v>784</v>
      </c>
      <c r="F18" s="12" t="str">
        <f t="shared" si="0"/>
        <v>'A02'</v>
      </c>
      <c r="G18" s="12" t="str">
        <f t="shared" si="1"/>
        <v>'Eduardo Altuzar'</v>
      </c>
      <c r="H18" t="s">
        <v>785</v>
      </c>
      <c r="I18" t="s">
        <v>654</v>
      </c>
      <c r="J18" t="str">
        <f t="shared" si="2"/>
        <v>('A02','Eduardo Altuzar',1),</v>
      </c>
      <c r="N18" t="s">
        <v>884</v>
      </c>
    </row>
    <row r="19" spans="1:14" ht="22.5" x14ac:dyDescent="0.3">
      <c r="A19" s="6" t="s">
        <v>788</v>
      </c>
      <c r="B19" s="6" t="s">
        <v>789</v>
      </c>
      <c r="C19">
        <v>1</v>
      </c>
      <c r="E19" t="s">
        <v>784</v>
      </c>
      <c r="F19" s="12" t="str">
        <f t="shared" si="0"/>
        <v>'A02'</v>
      </c>
      <c r="G19" s="12" t="str">
        <f t="shared" si="1"/>
        <v>'Eduardo Altuzar'</v>
      </c>
      <c r="H19" t="s">
        <v>785</v>
      </c>
      <c r="I19" t="s">
        <v>654</v>
      </c>
      <c r="J19" t="str">
        <f t="shared" si="2"/>
        <v>('A02','Eduardo Altuzar',1),</v>
      </c>
      <c r="N19" t="s">
        <v>885</v>
      </c>
    </row>
    <row r="20" spans="1:14" ht="22.5" x14ac:dyDescent="0.3">
      <c r="A20" s="6" t="s">
        <v>788</v>
      </c>
      <c r="B20" s="6" t="s">
        <v>789</v>
      </c>
      <c r="C20">
        <v>1</v>
      </c>
      <c r="E20" t="s">
        <v>784</v>
      </c>
      <c r="F20" s="12" t="str">
        <f t="shared" si="0"/>
        <v>'A02'</v>
      </c>
      <c r="G20" s="12" t="str">
        <f t="shared" si="1"/>
        <v>'Eduardo Altuzar'</v>
      </c>
      <c r="H20" t="s">
        <v>785</v>
      </c>
      <c r="I20" t="s">
        <v>654</v>
      </c>
      <c r="J20" t="str">
        <f t="shared" si="2"/>
        <v>('A02','Eduardo Altuzar',1),</v>
      </c>
      <c r="N20" t="s">
        <v>886</v>
      </c>
    </row>
    <row r="21" spans="1:14" ht="22.5" x14ac:dyDescent="0.3">
      <c r="A21" s="6" t="s">
        <v>770</v>
      </c>
      <c r="B21" s="6" t="s">
        <v>771</v>
      </c>
      <c r="C21">
        <v>1</v>
      </c>
      <c r="E21" t="s">
        <v>784</v>
      </c>
      <c r="F21" s="12" t="str">
        <f t="shared" si="0"/>
        <v>'A03'</v>
      </c>
      <c r="G21" s="12" t="str">
        <f t="shared" si="1"/>
        <v>'Hugo de la Cruz'</v>
      </c>
      <c r="H21" t="s">
        <v>785</v>
      </c>
      <c r="I21" t="s">
        <v>654</v>
      </c>
      <c r="J21" t="str">
        <f t="shared" si="2"/>
        <v>('A03','Hugo de la Cruz',1),</v>
      </c>
      <c r="N21" t="s">
        <v>887</v>
      </c>
    </row>
    <row r="22" spans="1:14" ht="22.5" x14ac:dyDescent="0.3">
      <c r="A22" s="6" t="s">
        <v>770</v>
      </c>
      <c r="B22" s="6" t="s">
        <v>771</v>
      </c>
      <c r="C22">
        <v>1</v>
      </c>
      <c r="E22" t="s">
        <v>784</v>
      </c>
      <c r="F22" s="12" t="str">
        <f t="shared" si="0"/>
        <v>'A03'</v>
      </c>
      <c r="G22" s="12" t="str">
        <f t="shared" si="1"/>
        <v>'Hugo de la Cruz'</v>
      </c>
      <c r="H22" t="s">
        <v>785</v>
      </c>
      <c r="I22" t="s">
        <v>654</v>
      </c>
      <c r="J22" t="str">
        <f t="shared" si="2"/>
        <v>('A03','Hugo de la Cruz',1),</v>
      </c>
      <c r="N22" t="s">
        <v>888</v>
      </c>
    </row>
    <row r="23" spans="1:14" ht="22.5" x14ac:dyDescent="0.3">
      <c r="A23" s="6" t="s">
        <v>770</v>
      </c>
      <c r="B23" s="6" t="s">
        <v>771</v>
      </c>
      <c r="C23">
        <v>1</v>
      </c>
      <c r="E23" t="s">
        <v>784</v>
      </c>
      <c r="F23" s="12" t="str">
        <f t="shared" si="0"/>
        <v>'A03'</v>
      </c>
      <c r="G23" s="12" t="str">
        <f t="shared" si="1"/>
        <v>'Hugo de la Cruz'</v>
      </c>
      <c r="H23" t="s">
        <v>785</v>
      </c>
      <c r="I23" t="s">
        <v>654</v>
      </c>
      <c r="J23" t="str">
        <f t="shared" si="2"/>
        <v>('A03','Hugo de la Cruz',1),</v>
      </c>
      <c r="N23" t="s">
        <v>889</v>
      </c>
    </row>
    <row r="24" spans="1:14" ht="22.5" x14ac:dyDescent="0.25">
      <c r="A24" s="11" t="s">
        <v>770</v>
      </c>
      <c r="B24" s="11" t="s">
        <v>771</v>
      </c>
      <c r="C24">
        <v>1</v>
      </c>
      <c r="E24" t="s">
        <v>784</v>
      </c>
      <c r="F24" s="12" t="str">
        <f t="shared" si="0"/>
        <v>'A03'</v>
      </c>
      <c r="G24" s="12" t="str">
        <f t="shared" si="1"/>
        <v>'Hugo de la Cruz'</v>
      </c>
      <c r="H24" t="s">
        <v>785</v>
      </c>
      <c r="I24" t="s">
        <v>654</v>
      </c>
      <c r="J24" t="str">
        <f t="shared" si="2"/>
        <v>('A03','Hugo de la Cruz',1),</v>
      </c>
      <c r="N24" t="s">
        <v>890</v>
      </c>
    </row>
    <row r="25" spans="1:14" ht="22.5" x14ac:dyDescent="0.3">
      <c r="A25" s="6" t="s">
        <v>770</v>
      </c>
      <c r="B25" s="6" t="s">
        <v>771</v>
      </c>
      <c r="C25">
        <v>1</v>
      </c>
      <c r="E25" t="s">
        <v>784</v>
      </c>
      <c r="F25" s="12" t="str">
        <f t="shared" si="0"/>
        <v>'A03'</v>
      </c>
      <c r="G25" s="12" t="str">
        <f t="shared" si="1"/>
        <v>'Hugo de la Cruz'</v>
      </c>
      <c r="H25" t="s">
        <v>785</v>
      </c>
      <c r="I25" t="s">
        <v>654</v>
      </c>
      <c r="J25" t="str">
        <f t="shared" si="2"/>
        <v>('A03','Hugo de la Cruz',1),</v>
      </c>
      <c r="N25" t="s">
        <v>891</v>
      </c>
    </row>
    <row r="26" spans="1:14" ht="22.5" x14ac:dyDescent="0.25">
      <c r="A26" s="11" t="s">
        <v>697</v>
      </c>
      <c r="B26" s="11" t="s">
        <v>698</v>
      </c>
      <c r="C26">
        <v>1</v>
      </c>
      <c r="E26" t="s">
        <v>784</v>
      </c>
      <c r="F26" s="12" t="str">
        <f t="shared" si="0"/>
        <v>'A04'</v>
      </c>
      <c r="G26" s="12" t="str">
        <f t="shared" si="1"/>
        <v>'Rafael Nava'</v>
      </c>
      <c r="H26" t="s">
        <v>785</v>
      </c>
      <c r="I26" t="s">
        <v>654</v>
      </c>
      <c r="J26" t="str">
        <f t="shared" si="2"/>
        <v>('A04','Rafael Nava',1),</v>
      </c>
      <c r="N26" t="s">
        <v>892</v>
      </c>
    </row>
    <row r="27" spans="1:14" ht="22.5" x14ac:dyDescent="0.3">
      <c r="A27" s="6" t="s">
        <v>697</v>
      </c>
      <c r="B27" s="6" t="s">
        <v>698</v>
      </c>
      <c r="C27">
        <v>1</v>
      </c>
      <c r="E27" t="s">
        <v>784</v>
      </c>
      <c r="F27" s="12" t="str">
        <f t="shared" si="0"/>
        <v>'A04'</v>
      </c>
      <c r="G27" s="12" t="str">
        <f t="shared" si="1"/>
        <v>'Rafael Nava'</v>
      </c>
      <c r="H27" t="s">
        <v>785</v>
      </c>
      <c r="I27" t="s">
        <v>654</v>
      </c>
      <c r="J27" t="str">
        <f t="shared" si="2"/>
        <v>('A04','Rafael Nava',1),</v>
      </c>
      <c r="N27" t="s">
        <v>893</v>
      </c>
    </row>
    <row r="28" spans="1:14" ht="22.5" x14ac:dyDescent="0.25">
      <c r="A28" s="11" t="s">
        <v>697</v>
      </c>
      <c r="B28" s="11" t="s">
        <v>698</v>
      </c>
      <c r="C28">
        <v>1</v>
      </c>
      <c r="E28" t="s">
        <v>784</v>
      </c>
      <c r="F28" s="12" t="str">
        <f t="shared" si="0"/>
        <v>'A04'</v>
      </c>
      <c r="G28" s="12" t="str">
        <f t="shared" si="1"/>
        <v>'Rafael Nava'</v>
      </c>
      <c r="H28" t="s">
        <v>785</v>
      </c>
      <c r="I28" t="s">
        <v>654</v>
      </c>
      <c r="J28" t="str">
        <f t="shared" si="2"/>
        <v>('A04','Rafael Nava',1),</v>
      </c>
      <c r="N28" t="s">
        <v>894</v>
      </c>
    </row>
    <row r="29" spans="1:14" ht="22.5" x14ac:dyDescent="0.25">
      <c r="A29" s="11" t="s">
        <v>697</v>
      </c>
      <c r="B29" s="11" t="s">
        <v>698</v>
      </c>
      <c r="C29">
        <v>1</v>
      </c>
      <c r="E29" t="s">
        <v>784</v>
      </c>
      <c r="F29" s="12" t="str">
        <f t="shared" si="0"/>
        <v>'A04'</v>
      </c>
      <c r="G29" s="12" t="str">
        <f t="shared" si="1"/>
        <v>'Rafael Nava'</v>
      </c>
      <c r="H29" t="s">
        <v>785</v>
      </c>
      <c r="I29" t="s">
        <v>654</v>
      </c>
      <c r="J29" t="str">
        <f t="shared" si="2"/>
        <v>('A04','Rafael Nava',1),</v>
      </c>
      <c r="N29" t="s">
        <v>895</v>
      </c>
    </row>
    <row r="30" spans="1:14" ht="22.5" x14ac:dyDescent="0.25">
      <c r="A30" s="11" t="s">
        <v>697</v>
      </c>
      <c r="B30" s="11" t="s">
        <v>698</v>
      </c>
      <c r="C30">
        <v>1</v>
      </c>
      <c r="E30" t="s">
        <v>784</v>
      </c>
      <c r="F30" s="12" t="str">
        <f t="shared" si="0"/>
        <v>'A04'</v>
      </c>
      <c r="G30" s="12" t="str">
        <f t="shared" si="1"/>
        <v>'Rafael Nava'</v>
      </c>
      <c r="H30" t="s">
        <v>785</v>
      </c>
      <c r="I30" t="s">
        <v>654</v>
      </c>
      <c r="J30" t="str">
        <f t="shared" si="2"/>
        <v>('A04','Rafael Nava',1),</v>
      </c>
      <c r="N30" t="s">
        <v>896</v>
      </c>
    </row>
    <row r="31" spans="1:14" ht="22.5" x14ac:dyDescent="0.25">
      <c r="A31" s="11" t="s">
        <v>697</v>
      </c>
      <c r="B31" s="11" t="s">
        <v>698</v>
      </c>
      <c r="C31">
        <v>1</v>
      </c>
      <c r="E31" t="s">
        <v>784</v>
      </c>
      <c r="F31" s="12" t="str">
        <f t="shared" si="0"/>
        <v>'A04'</v>
      </c>
      <c r="G31" s="12" t="str">
        <f t="shared" si="1"/>
        <v>'Rafael Nava'</v>
      </c>
      <c r="H31" t="s">
        <v>785</v>
      </c>
      <c r="I31" t="s">
        <v>654</v>
      </c>
      <c r="J31" t="str">
        <f t="shared" si="2"/>
        <v>('A04','Rafael Nava',1),</v>
      </c>
      <c r="N31" t="s">
        <v>897</v>
      </c>
    </row>
    <row r="32" spans="1:14" ht="22.5" x14ac:dyDescent="0.25">
      <c r="A32" s="11" t="s">
        <v>697</v>
      </c>
      <c r="B32" s="11" t="s">
        <v>698</v>
      </c>
      <c r="C32">
        <v>1</v>
      </c>
      <c r="E32" t="s">
        <v>784</v>
      </c>
      <c r="F32" s="12" t="str">
        <f t="shared" si="0"/>
        <v>'A04'</v>
      </c>
      <c r="G32" s="12" t="str">
        <f t="shared" si="1"/>
        <v>'Rafael Nava'</v>
      </c>
      <c r="H32" t="s">
        <v>785</v>
      </c>
      <c r="I32" t="s">
        <v>654</v>
      </c>
      <c r="J32" t="str">
        <f t="shared" si="2"/>
        <v>('A04','Rafael Nava',1),</v>
      </c>
      <c r="N32" t="s">
        <v>898</v>
      </c>
    </row>
    <row r="33" spans="1:14" ht="22.5" x14ac:dyDescent="0.25">
      <c r="A33" s="11" t="s">
        <v>697</v>
      </c>
      <c r="B33" s="11" t="s">
        <v>698</v>
      </c>
      <c r="C33">
        <v>1</v>
      </c>
      <c r="E33" t="s">
        <v>784</v>
      </c>
      <c r="F33" s="12" t="str">
        <f t="shared" si="0"/>
        <v>'A04'</v>
      </c>
      <c r="G33" s="12" t="str">
        <f t="shared" si="1"/>
        <v>'Rafael Nava'</v>
      </c>
      <c r="H33" t="s">
        <v>785</v>
      </c>
      <c r="I33" t="s">
        <v>654</v>
      </c>
      <c r="J33" t="str">
        <f t="shared" si="2"/>
        <v>('A04','Rafael Nava',1),</v>
      </c>
      <c r="N33" t="s">
        <v>899</v>
      </c>
    </row>
    <row r="34" spans="1:14" ht="22.5" x14ac:dyDescent="0.3">
      <c r="A34" s="6" t="s">
        <v>702</v>
      </c>
      <c r="B34" s="6" t="s">
        <v>703</v>
      </c>
      <c r="C34">
        <v>1</v>
      </c>
      <c r="E34" t="s">
        <v>784</v>
      </c>
      <c r="F34" s="12" t="str">
        <f t="shared" si="0"/>
        <v>'A05'</v>
      </c>
      <c r="G34" s="12" t="str">
        <f t="shared" si="1"/>
        <v>'Plataneros Unidos'</v>
      </c>
      <c r="H34" t="s">
        <v>785</v>
      </c>
      <c r="I34" t="s">
        <v>654</v>
      </c>
      <c r="J34" t="str">
        <f t="shared" si="2"/>
        <v>('A05','Plataneros Unidos',1),</v>
      </c>
      <c r="N34" t="s">
        <v>900</v>
      </c>
    </row>
    <row r="35" spans="1:14" ht="22.5" x14ac:dyDescent="0.25">
      <c r="A35" s="11" t="s">
        <v>702</v>
      </c>
      <c r="B35" s="11" t="s">
        <v>703</v>
      </c>
      <c r="C35">
        <v>1</v>
      </c>
      <c r="E35" t="s">
        <v>784</v>
      </c>
      <c r="F35" s="12" t="str">
        <f t="shared" si="0"/>
        <v>'A05'</v>
      </c>
      <c r="G35" s="12" t="str">
        <f t="shared" si="1"/>
        <v>'Plataneros Unidos'</v>
      </c>
      <c r="H35" t="s">
        <v>785</v>
      </c>
      <c r="I35" t="s">
        <v>654</v>
      </c>
      <c r="J35" t="str">
        <f t="shared" si="2"/>
        <v>('A05','Plataneros Unidos',1),</v>
      </c>
      <c r="N35" t="s">
        <v>901</v>
      </c>
    </row>
    <row r="36" spans="1:14" ht="22.5" x14ac:dyDescent="0.3">
      <c r="A36" s="6" t="s">
        <v>702</v>
      </c>
      <c r="B36" s="6" t="s">
        <v>703</v>
      </c>
      <c r="C36">
        <v>1</v>
      </c>
      <c r="E36" t="s">
        <v>784</v>
      </c>
      <c r="F36" s="12" t="str">
        <f t="shared" si="0"/>
        <v>'A05'</v>
      </c>
      <c r="G36" s="12" t="str">
        <f t="shared" si="1"/>
        <v>'Plataneros Unidos'</v>
      </c>
      <c r="H36" t="s">
        <v>785</v>
      </c>
      <c r="I36" t="s">
        <v>654</v>
      </c>
      <c r="J36" t="str">
        <f t="shared" si="2"/>
        <v>('A05','Plataneros Unidos',1),</v>
      </c>
      <c r="N36" t="s">
        <v>902</v>
      </c>
    </row>
    <row r="37" spans="1:14" ht="22.5" x14ac:dyDescent="0.25">
      <c r="A37" s="11" t="s">
        <v>754</v>
      </c>
      <c r="B37" s="11" t="s">
        <v>755</v>
      </c>
      <c r="C37">
        <v>1</v>
      </c>
      <c r="E37" t="s">
        <v>784</v>
      </c>
      <c r="F37" s="12" t="str">
        <f t="shared" si="0"/>
        <v>'A06'</v>
      </c>
      <c r="G37" s="12" t="str">
        <f t="shared" si="1"/>
        <v>'Antelmo Sandoval'</v>
      </c>
      <c r="H37" t="s">
        <v>785</v>
      </c>
      <c r="I37" t="s">
        <v>654</v>
      </c>
      <c r="J37" t="str">
        <f t="shared" si="2"/>
        <v>('A06','Antelmo Sandoval',1),</v>
      </c>
      <c r="N37" t="s">
        <v>903</v>
      </c>
    </row>
    <row r="38" spans="1:14" ht="22.5" x14ac:dyDescent="0.25">
      <c r="A38" s="11" t="s">
        <v>754</v>
      </c>
      <c r="B38" s="11" t="s">
        <v>755</v>
      </c>
      <c r="C38">
        <v>1</v>
      </c>
      <c r="E38" t="s">
        <v>784</v>
      </c>
      <c r="F38" s="12" t="str">
        <f t="shared" si="0"/>
        <v>'A06'</v>
      </c>
      <c r="G38" s="12" t="str">
        <f t="shared" si="1"/>
        <v>'Antelmo Sandoval'</v>
      </c>
      <c r="H38" t="s">
        <v>785</v>
      </c>
      <c r="I38" t="s">
        <v>654</v>
      </c>
      <c r="J38" t="str">
        <f t="shared" si="2"/>
        <v>('A06','Antelmo Sandoval',1),</v>
      </c>
      <c r="N38" t="s">
        <v>904</v>
      </c>
    </row>
    <row r="39" spans="1:14" ht="22.5" x14ac:dyDescent="0.25">
      <c r="A39" s="11" t="s">
        <v>792</v>
      </c>
      <c r="B39" s="11" t="s">
        <v>793</v>
      </c>
      <c r="C39">
        <v>1</v>
      </c>
      <c r="E39" t="s">
        <v>784</v>
      </c>
      <c r="F39" s="12" t="str">
        <f t="shared" si="0"/>
        <v>'A07'</v>
      </c>
      <c r="G39" s="12" t="str">
        <f t="shared" si="1"/>
        <v>'Asake'</v>
      </c>
      <c r="H39" t="s">
        <v>785</v>
      </c>
      <c r="I39" t="s">
        <v>654</v>
      </c>
      <c r="J39" t="str">
        <f t="shared" si="2"/>
        <v>('A07','Asake',1),</v>
      </c>
      <c r="N39" t="s">
        <v>905</v>
      </c>
    </row>
    <row r="40" spans="1:14" ht="22.5" x14ac:dyDescent="0.3">
      <c r="A40" s="6" t="s">
        <v>792</v>
      </c>
      <c r="B40" s="6" t="s">
        <v>793</v>
      </c>
      <c r="C40">
        <v>1</v>
      </c>
      <c r="E40" t="s">
        <v>784</v>
      </c>
      <c r="F40" s="12" t="str">
        <f t="shared" si="0"/>
        <v>'A07'</v>
      </c>
      <c r="G40" s="12" t="str">
        <f t="shared" si="1"/>
        <v>'Asake'</v>
      </c>
      <c r="H40" t="s">
        <v>785</v>
      </c>
      <c r="I40" t="s">
        <v>654</v>
      </c>
      <c r="J40" t="str">
        <f t="shared" si="2"/>
        <v>('A07','Asake',1),</v>
      </c>
      <c r="N40" t="s">
        <v>906</v>
      </c>
    </row>
    <row r="41" spans="1:14" ht="22.5" x14ac:dyDescent="0.3">
      <c r="A41" s="10" t="s">
        <v>792</v>
      </c>
      <c r="B41" s="10" t="s">
        <v>793</v>
      </c>
      <c r="C41">
        <v>1</v>
      </c>
      <c r="E41" t="s">
        <v>784</v>
      </c>
      <c r="F41" s="12" t="str">
        <f t="shared" si="0"/>
        <v>'A07'</v>
      </c>
      <c r="G41" s="12" t="str">
        <f t="shared" si="1"/>
        <v>'Asake'</v>
      </c>
      <c r="H41" t="s">
        <v>785</v>
      </c>
      <c r="I41" t="s">
        <v>654</v>
      </c>
      <c r="J41" t="str">
        <f t="shared" si="2"/>
        <v>('A07','Asake',1),</v>
      </c>
      <c r="N41" t="s">
        <v>907</v>
      </c>
    </row>
    <row r="42" spans="1:14" ht="22.5" x14ac:dyDescent="0.25">
      <c r="A42" s="11" t="s">
        <v>762</v>
      </c>
      <c r="B42" s="11" t="s">
        <v>763</v>
      </c>
      <c r="C42">
        <v>1</v>
      </c>
      <c r="E42" t="s">
        <v>784</v>
      </c>
      <c r="F42" s="12" t="str">
        <f t="shared" si="0"/>
        <v>'A08'</v>
      </c>
      <c r="G42" s="12" t="str">
        <f t="shared" si="1"/>
        <v>'Obdulio Barrios'</v>
      </c>
      <c r="H42" t="s">
        <v>785</v>
      </c>
      <c r="I42" t="s">
        <v>654</v>
      </c>
      <c r="J42" t="str">
        <f t="shared" si="2"/>
        <v>('A08','Obdulio Barrios',1),</v>
      </c>
      <c r="N42" t="s">
        <v>908</v>
      </c>
    </row>
    <row r="43" spans="1:14" ht="22.5" x14ac:dyDescent="0.3">
      <c r="A43" s="6" t="s">
        <v>762</v>
      </c>
      <c r="B43" s="6" t="s">
        <v>763</v>
      </c>
      <c r="C43">
        <v>1</v>
      </c>
      <c r="E43" t="s">
        <v>784</v>
      </c>
      <c r="F43" s="12" t="str">
        <f t="shared" si="0"/>
        <v>'A08'</v>
      </c>
      <c r="G43" s="12" t="str">
        <f t="shared" si="1"/>
        <v>'Obdulio Barrios'</v>
      </c>
      <c r="H43" t="s">
        <v>785</v>
      </c>
      <c r="I43" t="s">
        <v>654</v>
      </c>
      <c r="J43" t="str">
        <f t="shared" si="2"/>
        <v>('A08','Obdulio Barrios',1),</v>
      </c>
      <c r="N43" t="s">
        <v>909</v>
      </c>
    </row>
    <row r="44" spans="1:14" ht="22.5" x14ac:dyDescent="0.3">
      <c r="A44" s="6" t="s">
        <v>762</v>
      </c>
      <c r="B44" s="6" t="s">
        <v>763</v>
      </c>
      <c r="C44">
        <v>1</v>
      </c>
      <c r="E44" t="s">
        <v>784</v>
      </c>
      <c r="F44" s="12" t="str">
        <f t="shared" si="0"/>
        <v>'A08'</v>
      </c>
      <c r="G44" s="12" t="str">
        <f t="shared" si="1"/>
        <v>'Obdulio Barrios'</v>
      </c>
      <c r="H44" t="s">
        <v>785</v>
      </c>
      <c r="I44" t="s">
        <v>654</v>
      </c>
      <c r="J44" t="str">
        <f t="shared" si="2"/>
        <v>('A08','Obdulio Barrios',1),</v>
      </c>
      <c r="N44" t="s">
        <v>910</v>
      </c>
    </row>
    <row r="45" spans="1:14" ht="22.5" x14ac:dyDescent="0.25">
      <c r="A45" s="11" t="s">
        <v>762</v>
      </c>
      <c r="B45" s="11" t="s">
        <v>763</v>
      </c>
      <c r="C45">
        <v>1</v>
      </c>
      <c r="E45" t="s">
        <v>784</v>
      </c>
      <c r="F45" s="12" t="str">
        <f t="shared" si="0"/>
        <v>'A08'</v>
      </c>
      <c r="G45" s="12" t="str">
        <f t="shared" si="1"/>
        <v>'Obdulio Barrios'</v>
      </c>
      <c r="H45" t="s">
        <v>785</v>
      </c>
      <c r="I45" t="s">
        <v>654</v>
      </c>
      <c r="J45" t="str">
        <f t="shared" si="2"/>
        <v>('A08','Obdulio Barrios',1),</v>
      </c>
      <c r="N45" t="s">
        <v>911</v>
      </c>
    </row>
    <row r="46" spans="1:14" ht="22.5" x14ac:dyDescent="0.3">
      <c r="A46" s="10" t="s">
        <v>762</v>
      </c>
      <c r="B46" s="10" t="s">
        <v>763</v>
      </c>
      <c r="C46">
        <v>1</v>
      </c>
      <c r="E46" t="s">
        <v>784</v>
      </c>
      <c r="F46" s="12" t="str">
        <f t="shared" si="0"/>
        <v>'A08'</v>
      </c>
      <c r="G46" s="12" t="str">
        <f t="shared" si="1"/>
        <v>'Obdulio Barrios'</v>
      </c>
      <c r="H46" t="s">
        <v>785</v>
      </c>
      <c r="I46" t="s">
        <v>654</v>
      </c>
      <c r="J46" t="str">
        <f t="shared" si="2"/>
        <v>('A08','Obdulio Barrios',1),</v>
      </c>
      <c r="N46" t="s">
        <v>912</v>
      </c>
    </row>
    <row r="47" spans="1:14" x14ac:dyDescent="0.25">
      <c r="A47" t="s">
        <v>775</v>
      </c>
      <c r="B47" t="s">
        <v>794</v>
      </c>
      <c r="C47">
        <v>1</v>
      </c>
      <c r="E47" t="s">
        <v>784</v>
      </c>
      <c r="F47" s="12" t="str">
        <f t="shared" si="0"/>
        <v>'A09'</v>
      </c>
      <c r="G47" s="12" t="str">
        <f t="shared" si="1"/>
        <v>'Ejido Miguel Aleman'</v>
      </c>
      <c r="H47" t="s">
        <v>785</v>
      </c>
      <c r="I47" t="s">
        <v>654</v>
      </c>
      <c r="J47" t="str">
        <f t="shared" si="2"/>
        <v>('A09','Ejido Miguel Aleman',1),</v>
      </c>
      <c r="N47" t="s">
        <v>913</v>
      </c>
    </row>
    <row r="48" spans="1:14" x14ac:dyDescent="0.25">
      <c r="A48" t="s">
        <v>775</v>
      </c>
      <c r="B48" t="s">
        <v>795</v>
      </c>
      <c r="C48">
        <v>1</v>
      </c>
      <c r="E48" t="s">
        <v>784</v>
      </c>
      <c r="F48" s="12" t="str">
        <f t="shared" si="0"/>
        <v>'A09'</v>
      </c>
      <c r="G48" s="12" t="str">
        <f t="shared" si="1"/>
        <v>'ejido Miguel A'</v>
      </c>
      <c r="H48" t="s">
        <v>785</v>
      </c>
      <c r="I48" t="s">
        <v>654</v>
      </c>
      <c r="J48" t="str">
        <f t="shared" si="2"/>
        <v>('A09','ejido Miguel A',1),</v>
      </c>
      <c r="N48" t="s">
        <v>914</v>
      </c>
    </row>
    <row r="49" spans="1:14" x14ac:dyDescent="0.25">
      <c r="A49" t="s">
        <v>796</v>
      </c>
      <c r="B49" t="s">
        <v>797</v>
      </c>
      <c r="C49">
        <v>1</v>
      </c>
      <c r="E49" t="s">
        <v>784</v>
      </c>
      <c r="F49" s="12" t="str">
        <f t="shared" si="0"/>
        <v>'A10'</v>
      </c>
      <c r="G49" s="12" t="str">
        <f t="shared" si="1"/>
        <v>'Rafael Partida'</v>
      </c>
      <c r="H49" t="s">
        <v>785</v>
      </c>
      <c r="I49" t="s">
        <v>654</v>
      </c>
      <c r="J49" t="str">
        <f t="shared" si="2"/>
        <v>('A10','Rafael Partida',1),</v>
      </c>
      <c r="N49" t="s">
        <v>915</v>
      </c>
    </row>
    <row r="50" spans="1:14" x14ac:dyDescent="0.25">
      <c r="A50" t="s">
        <v>796</v>
      </c>
      <c r="B50" t="s">
        <v>797</v>
      </c>
      <c r="C50">
        <v>1</v>
      </c>
      <c r="E50" t="s">
        <v>784</v>
      </c>
      <c r="F50" s="12" t="str">
        <f t="shared" si="0"/>
        <v>'A10'</v>
      </c>
      <c r="G50" s="12" t="str">
        <f t="shared" si="1"/>
        <v>'Rafael Partida'</v>
      </c>
      <c r="H50" t="s">
        <v>785</v>
      </c>
      <c r="I50" t="s">
        <v>654</v>
      </c>
      <c r="J50" t="str">
        <f t="shared" si="2"/>
        <v>('A10','Rafael Partida',1),</v>
      </c>
      <c r="N50" t="s">
        <v>916</v>
      </c>
    </row>
    <row r="51" spans="1:14" ht="22.5" x14ac:dyDescent="0.3">
      <c r="A51" s="6" t="s">
        <v>699</v>
      </c>
      <c r="B51" s="6" t="s">
        <v>700</v>
      </c>
      <c r="C51">
        <v>1</v>
      </c>
      <c r="E51" t="s">
        <v>784</v>
      </c>
      <c r="F51" s="12" t="str">
        <f t="shared" si="0"/>
        <v>'A11'</v>
      </c>
      <c r="G51" s="12" t="str">
        <f t="shared" si="1"/>
        <v>'Sector Mazatan'</v>
      </c>
      <c r="H51" t="s">
        <v>785</v>
      </c>
      <c r="I51" t="s">
        <v>654</v>
      </c>
      <c r="J51" t="str">
        <f t="shared" si="2"/>
        <v>('A11','Sector Mazatan',1),</v>
      </c>
      <c r="N51" t="s">
        <v>917</v>
      </c>
    </row>
    <row r="52" spans="1:14" x14ac:dyDescent="0.25">
      <c r="A52" t="s">
        <v>699</v>
      </c>
      <c r="B52" t="s">
        <v>700</v>
      </c>
      <c r="C52">
        <v>1</v>
      </c>
      <c r="E52" t="s">
        <v>784</v>
      </c>
      <c r="F52" s="12" t="str">
        <f t="shared" si="0"/>
        <v>'A11'</v>
      </c>
      <c r="G52" s="12" t="str">
        <f t="shared" si="1"/>
        <v>'Sector Mazatan'</v>
      </c>
      <c r="H52" t="s">
        <v>785</v>
      </c>
      <c r="I52" t="s">
        <v>654</v>
      </c>
      <c r="J52" t="str">
        <f t="shared" si="2"/>
        <v>('A11','Sector Mazatan',1),</v>
      </c>
      <c r="N52" t="s">
        <v>918</v>
      </c>
    </row>
    <row r="53" spans="1:14" x14ac:dyDescent="0.25">
      <c r="A53" t="s">
        <v>699</v>
      </c>
      <c r="B53" t="s">
        <v>700</v>
      </c>
      <c r="C53">
        <v>1</v>
      </c>
      <c r="E53" t="s">
        <v>784</v>
      </c>
      <c r="F53" s="12" t="str">
        <f t="shared" si="0"/>
        <v>'A11'</v>
      </c>
      <c r="G53" s="12" t="str">
        <f t="shared" si="1"/>
        <v>'Sector Mazatan'</v>
      </c>
      <c r="H53" t="s">
        <v>785</v>
      </c>
      <c r="I53" t="s">
        <v>654</v>
      </c>
      <c r="J53" t="str">
        <f t="shared" si="2"/>
        <v>('A11','Sector Mazatan',1),</v>
      </c>
      <c r="N53" t="s">
        <v>919</v>
      </c>
    </row>
    <row r="54" spans="1:14" x14ac:dyDescent="0.25">
      <c r="A54" t="s">
        <v>773</v>
      </c>
      <c r="B54" t="s">
        <v>774</v>
      </c>
      <c r="C54">
        <v>1</v>
      </c>
      <c r="E54" t="s">
        <v>784</v>
      </c>
      <c r="F54" s="12" t="str">
        <f t="shared" si="0"/>
        <v>'A12'</v>
      </c>
      <c r="G54" s="12" t="str">
        <f t="shared" si="1"/>
        <v>'Carlos Cigarroa'</v>
      </c>
      <c r="H54" t="s">
        <v>785</v>
      </c>
      <c r="I54" t="s">
        <v>654</v>
      </c>
      <c r="J54" t="str">
        <f t="shared" si="2"/>
        <v>('A12','Carlos Cigarroa',1),</v>
      </c>
      <c r="N54" t="s">
        <v>920</v>
      </c>
    </row>
    <row r="55" spans="1:14" x14ac:dyDescent="0.25">
      <c r="A55" t="s">
        <v>773</v>
      </c>
      <c r="B55" t="s">
        <v>774</v>
      </c>
      <c r="C55">
        <v>1</v>
      </c>
      <c r="E55" t="s">
        <v>784</v>
      </c>
      <c r="F55" s="12" t="str">
        <f t="shared" si="0"/>
        <v>'A12'</v>
      </c>
      <c r="G55" s="12" t="str">
        <f t="shared" si="1"/>
        <v>'Carlos Cigarroa'</v>
      </c>
      <c r="H55" t="s">
        <v>785</v>
      </c>
      <c r="I55" t="s">
        <v>654</v>
      </c>
      <c r="J55" t="str">
        <f t="shared" si="2"/>
        <v>('A12','Carlos Cigarroa',1),</v>
      </c>
      <c r="N55" t="s">
        <v>921</v>
      </c>
    </row>
    <row r="56" spans="1:14" x14ac:dyDescent="0.25">
      <c r="A56" t="s">
        <v>798</v>
      </c>
      <c r="B56" t="s">
        <v>799</v>
      </c>
      <c r="C56">
        <v>1</v>
      </c>
      <c r="E56" t="s">
        <v>784</v>
      </c>
      <c r="F56" s="12" t="str">
        <f t="shared" si="0"/>
        <v>'A13'</v>
      </c>
      <c r="G56" s="12" t="str">
        <f t="shared" si="1"/>
        <v>'Pedro Escobar'</v>
      </c>
      <c r="H56" t="s">
        <v>785</v>
      </c>
      <c r="I56" t="s">
        <v>654</v>
      </c>
      <c r="J56" t="str">
        <f t="shared" si="2"/>
        <v>('A13','Pedro Escobar',1),</v>
      </c>
      <c r="N56" t="s">
        <v>922</v>
      </c>
    </row>
    <row r="57" spans="1:14" x14ac:dyDescent="0.25">
      <c r="A57" t="s">
        <v>798</v>
      </c>
      <c r="B57" t="s">
        <v>799</v>
      </c>
      <c r="C57">
        <v>1</v>
      </c>
      <c r="E57" t="s">
        <v>784</v>
      </c>
      <c r="F57" s="12" t="str">
        <f t="shared" si="0"/>
        <v>'A13'</v>
      </c>
      <c r="G57" s="12" t="str">
        <f t="shared" si="1"/>
        <v>'Pedro Escobar'</v>
      </c>
      <c r="H57" t="s">
        <v>785</v>
      </c>
      <c r="I57" t="s">
        <v>654</v>
      </c>
      <c r="J57" t="str">
        <f t="shared" si="2"/>
        <v>('A13','Pedro Escobar',1),</v>
      </c>
      <c r="N57" t="s">
        <v>923</v>
      </c>
    </row>
    <row r="58" spans="1:14" x14ac:dyDescent="0.25">
      <c r="A58" t="s">
        <v>800</v>
      </c>
      <c r="B58" t="s">
        <v>801</v>
      </c>
      <c r="C58">
        <v>1</v>
      </c>
      <c r="E58" t="s">
        <v>784</v>
      </c>
      <c r="F58" s="12" t="str">
        <f t="shared" si="0"/>
        <v>'A14'</v>
      </c>
      <c r="G58" s="12" t="str">
        <f t="shared" si="1"/>
        <v>'Grupo Vasti'</v>
      </c>
      <c r="H58" t="s">
        <v>785</v>
      </c>
      <c r="I58" t="s">
        <v>654</v>
      </c>
      <c r="J58" t="str">
        <f t="shared" si="2"/>
        <v>('A14','Grupo Vasti',1),</v>
      </c>
      <c r="N58" t="s">
        <v>924</v>
      </c>
    </row>
    <row r="59" spans="1:14" x14ac:dyDescent="0.25">
      <c r="A59" t="s">
        <v>800</v>
      </c>
      <c r="B59" t="s">
        <v>801</v>
      </c>
      <c r="C59">
        <v>1</v>
      </c>
      <c r="E59" t="s">
        <v>784</v>
      </c>
      <c r="F59" s="12" t="str">
        <f t="shared" si="0"/>
        <v>'A14'</v>
      </c>
      <c r="G59" s="12" t="str">
        <f t="shared" si="1"/>
        <v>'Grupo Vasti'</v>
      </c>
      <c r="H59" t="s">
        <v>785</v>
      </c>
      <c r="I59" t="s">
        <v>654</v>
      </c>
      <c r="J59" t="str">
        <f t="shared" si="2"/>
        <v>('A14','Grupo Vasti',1),</v>
      </c>
      <c r="N59" t="s">
        <v>925</v>
      </c>
    </row>
    <row r="60" spans="1:14" x14ac:dyDescent="0.25">
      <c r="A60" t="s">
        <v>802</v>
      </c>
      <c r="B60" t="s">
        <v>803</v>
      </c>
      <c r="C60">
        <v>1</v>
      </c>
      <c r="E60" t="s">
        <v>784</v>
      </c>
      <c r="F60" s="12" t="str">
        <f t="shared" si="0"/>
        <v>'A15'</v>
      </c>
      <c r="G60" s="12" t="str">
        <f t="shared" si="1"/>
        <v>'Virgilio Moreno Reyes'</v>
      </c>
      <c r="H60" t="s">
        <v>785</v>
      </c>
      <c r="I60" t="s">
        <v>654</v>
      </c>
      <c r="J60" t="str">
        <f t="shared" si="2"/>
        <v>('A15','Virgilio Moreno Reyes',1),</v>
      </c>
      <c r="N60" t="s">
        <v>926</v>
      </c>
    </row>
    <row r="61" spans="1:14" x14ac:dyDescent="0.25">
      <c r="A61" t="s">
        <v>804</v>
      </c>
      <c r="B61" t="s">
        <v>805</v>
      </c>
      <c r="C61">
        <v>1</v>
      </c>
      <c r="E61" t="s">
        <v>784</v>
      </c>
      <c r="F61" s="12" t="str">
        <f t="shared" si="0"/>
        <v>'A16'</v>
      </c>
      <c r="G61" s="12" t="str">
        <f t="shared" si="1"/>
        <v>'Coliman'</v>
      </c>
      <c r="H61" t="s">
        <v>785</v>
      </c>
      <c r="I61" t="s">
        <v>654</v>
      </c>
      <c r="J61" t="str">
        <f t="shared" si="2"/>
        <v>('A16','Coliman',1),</v>
      </c>
      <c r="N61" t="s">
        <v>927</v>
      </c>
    </row>
    <row r="62" spans="1:14" x14ac:dyDescent="0.25">
      <c r="A62" t="s">
        <v>806</v>
      </c>
      <c r="B62" t="s">
        <v>807</v>
      </c>
      <c r="C62">
        <v>1</v>
      </c>
      <c r="E62" t="s">
        <v>784</v>
      </c>
      <c r="F62" s="12" t="str">
        <f t="shared" si="0"/>
        <v>'A17'</v>
      </c>
      <c r="G62" s="12" t="str">
        <f t="shared" si="1"/>
        <v>'Rafael Hinojosa'</v>
      </c>
      <c r="H62" t="s">
        <v>785</v>
      </c>
      <c r="I62" t="s">
        <v>654</v>
      </c>
      <c r="J62" t="str">
        <f t="shared" si="2"/>
        <v>('A17','Rafael Hinojosa',1),</v>
      </c>
      <c r="N62" t="s">
        <v>928</v>
      </c>
    </row>
    <row r="63" spans="1:14" x14ac:dyDescent="0.25">
      <c r="A63" t="s">
        <v>808</v>
      </c>
      <c r="B63" t="s">
        <v>809</v>
      </c>
      <c r="C63">
        <v>1</v>
      </c>
      <c r="E63" t="s">
        <v>784</v>
      </c>
      <c r="F63" s="12" t="str">
        <f t="shared" si="0"/>
        <v>'A18'</v>
      </c>
      <c r="G63" s="12" t="str">
        <f t="shared" si="1"/>
        <v>'Ruben de la Cruz'</v>
      </c>
      <c r="H63" t="s">
        <v>785</v>
      </c>
      <c r="I63" t="s">
        <v>654</v>
      </c>
      <c r="J63" t="str">
        <f t="shared" si="2"/>
        <v>('A18','Ruben de la Cruz',1),</v>
      </c>
      <c r="N63" t="s">
        <v>929</v>
      </c>
    </row>
    <row r="64" spans="1:14" x14ac:dyDescent="0.25">
      <c r="A64" t="s">
        <v>810</v>
      </c>
      <c r="B64" t="s">
        <v>811</v>
      </c>
      <c r="C64">
        <v>1</v>
      </c>
      <c r="E64" t="s">
        <v>784</v>
      </c>
      <c r="F64" s="12" t="str">
        <f t="shared" si="0"/>
        <v>'A20'</v>
      </c>
      <c r="G64" s="12" t="str">
        <f t="shared" si="1"/>
        <v>'Sergio Abenamar'</v>
      </c>
      <c r="H64" t="s">
        <v>785</v>
      </c>
      <c r="I64" t="s">
        <v>654</v>
      </c>
      <c r="J64" t="str">
        <f t="shared" si="2"/>
        <v>('A20','Sergio Abenamar',1),</v>
      </c>
      <c r="N64" t="s">
        <v>930</v>
      </c>
    </row>
    <row r="65" spans="1:14" x14ac:dyDescent="0.25">
      <c r="A65" t="s">
        <v>812</v>
      </c>
      <c r="B65" t="s">
        <v>813</v>
      </c>
      <c r="C65">
        <v>1</v>
      </c>
      <c r="E65" t="s">
        <v>784</v>
      </c>
      <c r="F65" s="12" t="str">
        <f t="shared" si="0"/>
        <v>'A21'</v>
      </c>
      <c r="G65" s="12" t="str">
        <f t="shared" si="1"/>
        <v>'Brandon Altuzar'</v>
      </c>
      <c r="H65" t="s">
        <v>785</v>
      </c>
      <c r="I65" t="s">
        <v>654</v>
      </c>
      <c r="J65" t="str">
        <f t="shared" si="2"/>
        <v>('A21','Brandon Altuzar',1),</v>
      </c>
      <c r="N65" t="s">
        <v>931</v>
      </c>
    </row>
    <row r="66" spans="1:14" x14ac:dyDescent="0.25">
      <c r="A66" t="s">
        <v>814</v>
      </c>
      <c r="B66" t="s">
        <v>815</v>
      </c>
      <c r="C66">
        <v>1</v>
      </c>
      <c r="E66" t="s">
        <v>784</v>
      </c>
      <c r="F66" s="12" t="str">
        <f t="shared" si="0"/>
        <v>'A22'</v>
      </c>
      <c r="G66" s="12" t="str">
        <f t="shared" si="1"/>
        <v>'Arturo Gongora'</v>
      </c>
      <c r="H66" t="s">
        <v>785</v>
      </c>
      <c r="I66" t="s">
        <v>654</v>
      </c>
      <c r="J66" t="str">
        <f t="shared" si="2"/>
        <v>('A22','Arturo Gongora',1),</v>
      </c>
      <c r="N66" t="s">
        <v>932</v>
      </c>
    </row>
    <row r="67" spans="1:14" x14ac:dyDescent="0.25">
      <c r="A67" t="s">
        <v>816</v>
      </c>
      <c r="B67" t="s">
        <v>789</v>
      </c>
      <c r="C67">
        <v>1</v>
      </c>
      <c r="E67" t="s">
        <v>784</v>
      </c>
      <c r="F67" s="12" t="str">
        <f t="shared" ref="F67:F130" si="3">+"'"&amp;A67&amp;"'"</f>
        <v>'A23'</v>
      </c>
      <c r="G67" s="12" t="str">
        <f t="shared" ref="G67:G130" si="4">+"'"&amp;B67&amp;"'"</f>
        <v>'Eduardo Altuzar'</v>
      </c>
      <c r="H67" t="s">
        <v>785</v>
      </c>
      <c r="I67" t="s">
        <v>654</v>
      </c>
      <c r="J67" t="str">
        <f t="shared" ref="J67:J130" si="5">+E67&amp;F67&amp;I67&amp;G67&amp;I67&amp;C67&amp;H67&amp;I67</f>
        <v>('A23','Eduardo Altuzar',1),</v>
      </c>
      <c r="N67" t="s">
        <v>933</v>
      </c>
    </row>
    <row r="68" spans="1:14" ht="22.5" x14ac:dyDescent="0.3">
      <c r="A68" s="6" t="s">
        <v>790</v>
      </c>
      <c r="B68" s="6" t="s">
        <v>791</v>
      </c>
      <c r="C68">
        <v>1</v>
      </c>
      <c r="E68" t="s">
        <v>784</v>
      </c>
      <c r="F68" s="12" t="str">
        <f t="shared" si="3"/>
        <v>'A24'</v>
      </c>
      <c r="G68" s="12" t="str">
        <f t="shared" si="4"/>
        <v>'Romi Bananas'</v>
      </c>
      <c r="H68" t="s">
        <v>785</v>
      </c>
      <c r="I68" t="s">
        <v>654</v>
      </c>
      <c r="J68" t="str">
        <f t="shared" si="5"/>
        <v>('A24','Romi Bananas',1),</v>
      </c>
      <c r="N68" t="s">
        <v>934</v>
      </c>
    </row>
    <row r="69" spans="1:14" ht="22.5" x14ac:dyDescent="0.3">
      <c r="A69" s="6" t="s">
        <v>790</v>
      </c>
      <c r="B69" s="6" t="s">
        <v>791</v>
      </c>
      <c r="C69">
        <v>1</v>
      </c>
      <c r="E69" t="s">
        <v>784</v>
      </c>
      <c r="F69" s="12" t="str">
        <f t="shared" si="3"/>
        <v>'A24'</v>
      </c>
      <c r="G69" s="12" t="str">
        <f t="shared" si="4"/>
        <v>'Romi Bananas'</v>
      </c>
      <c r="H69" t="s">
        <v>785</v>
      </c>
      <c r="I69" t="s">
        <v>654</v>
      </c>
      <c r="J69" t="str">
        <f t="shared" si="5"/>
        <v>('A24','Romi Bananas',1),</v>
      </c>
      <c r="N69" t="s">
        <v>935</v>
      </c>
    </row>
    <row r="70" spans="1:14" ht="22.5" x14ac:dyDescent="0.3">
      <c r="A70" s="6" t="s">
        <v>737</v>
      </c>
      <c r="B70" s="6" t="s">
        <v>738</v>
      </c>
      <c r="C70">
        <v>1</v>
      </c>
      <c r="E70" t="s">
        <v>784</v>
      </c>
      <c r="F70" s="12" t="str">
        <f t="shared" si="3"/>
        <v>'A25'</v>
      </c>
      <c r="G70" s="12" t="str">
        <f t="shared" si="4"/>
        <v>'Gerardo Turriza'</v>
      </c>
      <c r="H70" t="s">
        <v>785</v>
      </c>
      <c r="I70" t="s">
        <v>654</v>
      </c>
      <c r="J70" t="str">
        <f t="shared" si="5"/>
        <v>('A25','Gerardo Turriza',1),</v>
      </c>
      <c r="N70" t="s">
        <v>936</v>
      </c>
    </row>
    <row r="71" spans="1:14" ht="22.5" x14ac:dyDescent="0.3">
      <c r="A71" s="6" t="s">
        <v>737</v>
      </c>
      <c r="B71" s="6" t="s">
        <v>738</v>
      </c>
      <c r="C71">
        <v>1</v>
      </c>
      <c r="E71" t="s">
        <v>784</v>
      </c>
      <c r="F71" s="12" t="str">
        <f t="shared" si="3"/>
        <v>'A25'</v>
      </c>
      <c r="G71" s="12" t="str">
        <f t="shared" si="4"/>
        <v>'Gerardo Turriza'</v>
      </c>
      <c r="H71" t="s">
        <v>785</v>
      </c>
      <c r="I71" t="s">
        <v>654</v>
      </c>
      <c r="J71" t="str">
        <f t="shared" si="5"/>
        <v>('A25','Gerardo Turriza',1),</v>
      </c>
      <c r="N71" t="s">
        <v>937</v>
      </c>
    </row>
    <row r="72" spans="1:14" x14ac:dyDescent="0.25">
      <c r="A72" t="s">
        <v>737</v>
      </c>
      <c r="B72" t="s">
        <v>738</v>
      </c>
      <c r="C72">
        <v>1</v>
      </c>
      <c r="E72" t="s">
        <v>784</v>
      </c>
      <c r="F72" s="12" t="str">
        <f t="shared" si="3"/>
        <v>'A25'</v>
      </c>
      <c r="G72" s="12" t="str">
        <f t="shared" si="4"/>
        <v>'Gerardo Turriza'</v>
      </c>
      <c r="H72" t="s">
        <v>785</v>
      </c>
      <c r="I72" t="s">
        <v>654</v>
      </c>
      <c r="J72" t="str">
        <f t="shared" si="5"/>
        <v>('A25','Gerardo Turriza',1),</v>
      </c>
      <c r="N72" t="s">
        <v>938</v>
      </c>
    </row>
    <row r="73" spans="1:14" x14ac:dyDescent="0.25">
      <c r="C73">
        <v>1</v>
      </c>
      <c r="E73" t="s">
        <v>784</v>
      </c>
      <c r="F73" s="12" t="str">
        <f t="shared" si="3"/>
        <v>''</v>
      </c>
      <c r="G73" s="12" t="str">
        <f t="shared" si="4"/>
        <v>''</v>
      </c>
      <c r="H73" t="s">
        <v>785</v>
      </c>
      <c r="I73" t="s">
        <v>654</v>
      </c>
      <c r="J73" t="str">
        <f t="shared" si="5"/>
        <v>('','',1),</v>
      </c>
      <c r="N73" t="s">
        <v>939</v>
      </c>
    </row>
    <row r="74" spans="1:14" x14ac:dyDescent="0.25">
      <c r="A74" t="s">
        <v>693</v>
      </c>
      <c r="B74" t="s">
        <v>694</v>
      </c>
      <c r="C74">
        <v>1</v>
      </c>
      <c r="E74" t="s">
        <v>784</v>
      </c>
      <c r="F74" s="12" t="str">
        <f t="shared" si="3"/>
        <v>'A27'</v>
      </c>
      <c r="G74" s="12" t="str">
        <f t="shared" si="4"/>
        <v>'Salim Rodriguez'</v>
      </c>
      <c r="H74" t="s">
        <v>785</v>
      </c>
      <c r="I74" t="s">
        <v>654</v>
      </c>
      <c r="J74" t="str">
        <f t="shared" si="5"/>
        <v>('A27','Salim Rodriguez',1),</v>
      </c>
      <c r="N74" t="s">
        <v>940</v>
      </c>
    </row>
    <row r="75" spans="1:14" x14ac:dyDescent="0.25">
      <c r="A75" t="s">
        <v>817</v>
      </c>
      <c r="B75" t="s">
        <v>818</v>
      </c>
      <c r="C75">
        <v>1</v>
      </c>
      <c r="E75" t="s">
        <v>784</v>
      </c>
      <c r="F75" s="12" t="str">
        <f t="shared" si="3"/>
        <v>'A28'</v>
      </c>
      <c r="G75" s="12" t="str">
        <f t="shared" si="4"/>
        <v>'Juan Mendez'</v>
      </c>
      <c r="H75" t="s">
        <v>785</v>
      </c>
      <c r="I75" t="s">
        <v>654</v>
      </c>
      <c r="J75" t="str">
        <f t="shared" si="5"/>
        <v>('A28','Juan Mendez',1),</v>
      </c>
      <c r="N75" t="s">
        <v>941</v>
      </c>
    </row>
    <row r="76" spans="1:14" x14ac:dyDescent="0.25">
      <c r="A76" t="s">
        <v>819</v>
      </c>
      <c r="B76" t="s">
        <v>820</v>
      </c>
      <c r="C76">
        <v>1</v>
      </c>
      <c r="E76" t="s">
        <v>784</v>
      </c>
      <c r="F76" s="12" t="str">
        <f t="shared" si="3"/>
        <v>'A29'</v>
      </c>
      <c r="G76" s="12" t="str">
        <f t="shared" si="4"/>
        <v>'Guadalupe Rodas Arreola'</v>
      </c>
      <c r="H76" t="s">
        <v>785</v>
      </c>
      <c r="I76" t="s">
        <v>654</v>
      </c>
      <c r="J76" t="str">
        <f t="shared" si="5"/>
        <v>('A29','Guadalupe Rodas Arreola',1),</v>
      </c>
      <c r="N76" t="s">
        <v>942</v>
      </c>
    </row>
    <row r="77" spans="1:14" x14ac:dyDescent="0.25">
      <c r="A77" t="s">
        <v>821</v>
      </c>
      <c r="B77" t="s">
        <v>822</v>
      </c>
      <c r="C77">
        <v>1</v>
      </c>
      <c r="E77" t="s">
        <v>784</v>
      </c>
      <c r="F77" s="12" t="str">
        <f t="shared" si="3"/>
        <v>'A30'</v>
      </c>
      <c r="G77" s="12" t="str">
        <f t="shared" si="4"/>
        <v>'Miguel Navarro'</v>
      </c>
      <c r="H77" t="s">
        <v>785</v>
      </c>
      <c r="I77" t="s">
        <v>654</v>
      </c>
      <c r="J77" t="str">
        <f t="shared" si="5"/>
        <v>('A30','Miguel Navarro',1),</v>
      </c>
      <c r="N77" t="s">
        <v>943</v>
      </c>
    </row>
    <row r="78" spans="1:14" x14ac:dyDescent="0.25">
      <c r="A78" t="s">
        <v>735</v>
      </c>
      <c r="B78" t="s">
        <v>736</v>
      </c>
      <c r="C78">
        <v>1</v>
      </c>
      <c r="E78" t="s">
        <v>784</v>
      </c>
      <c r="F78" s="12" t="str">
        <f t="shared" si="3"/>
        <v>'A26'</v>
      </c>
      <c r="G78" s="12" t="str">
        <f t="shared" si="4"/>
        <v>'Manuel Tamayo'</v>
      </c>
      <c r="H78" t="s">
        <v>785</v>
      </c>
      <c r="I78" t="s">
        <v>654</v>
      </c>
      <c r="J78" t="str">
        <f t="shared" si="5"/>
        <v>('A26','Manuel Tamayo',1),</v>
      </c>
      <c r="N78" t="s">
        <v>944</v>
      </c>
    </row>
    <row r="79" spans="1:14" x14ac:dyDescent="0.25">
      <c r="A79" t="s">
        <v>790</v>
      </c>
      <c r="B79" t="s">
        <v>791</v>
      </c>
      <c r="C79">
        <v>1</v>
      </c>
      <c r="E79" t="s">
        <v>784</v>
      </c>
      <c r="F79" s="12" t="str">
        <f t="shared" si="3"/>
        <v>'A24'</v>
      </c>
      <c r="G79" s="12" t="str">
        <f t="shared" si="4"/>
        <v>'Romi Bananas'</v>
      </c>
      <c r="H79" t="s">
        <v>785</v>
      </c>
      <c r="I79" t="s">
        <v>654</v>
      </c>
      <c r="J79" t="str">
        <f t="shared" si="5"/>
        <v>('A24','Romi Bananas',1),</v>
      </c>
      <c r="N79" t="s">
        <v>945</v>
      </c>
    </row>
    <row r="80" spans="1:14" x14ac:dyDescent="0.25">
      <c r="A80" t="s">
        <v>823</v>
      </c>
      <c r="B80" t="s">
        <v>824</v>
      </c>
      <c r="C80">
        <v>1</v>
      </c>
      <c r="E80" t="s">
        <v>784</v>
      </c>
      <c r="F80" s="12" t="str">
        <f t="shared" si="3"/>
        <v>'A31'</v>
      </c>
      <c r="G80" s="12" t="str">
        <f t="shared" si="4"/>
        <v>'Benjamin Perez'</v>
      </c>
      <c r="H80" t="s">
        <v>785</v>
      </c>
      <c r="I80" t="s">
        <v>654</v>
      </c>
      <c r="J80" t="str">
        <f t="shared" si="5"/>
        <v>('A31','Benjamin Perez',1),</v>
      </c>
      <c r="N80" t="s">
        <v>946</v>
      </c>
    </row>
    <row r="81" spans="1:14" x14ac:dyDescent="0.25">
      <c r="A81" t="s">
        <v>770</v>
      </c>
      <c r="B81" t="s">
        <v>771</v>
      </c>
      <c r="C81">
        <v>1</v>
      </c>
      <c r="E81" t="s">
        <v>784</v>
      </c>
      <c r="F81" s="12" t="str">
        <f t="shared" si="3"/>
        <v>'A03'</v>
      </c>
      <c r="G81" s="12" t="str">
        <f t="shared" si="4"/>
        <v>'Hugo de la Cruz'</v>
      </c>
      <c r="H81" t="s">
        <v>785</v>
      </c>
      <c r="I81" t="s">
        <v>654</v>
      </c>
      <c r="J81" t="str">
        <f t="shared" si="5"/>
        <v>('A03','Hugo de la Cruz',1),</v>
      </c>
      <c r="N81" t="s">
        <v>947</v>
      </c>
    </row>
    <row r="82" spans="1:14" x14ac:dyDescent="0.25">
      <c r="A82" t="s">
        <v>825</v>
      </c>
      <c r="B82" t="s">
        <v>826</v>
      </c>
      <c r="C82">
        <v>1</v>
      </c>
      <c r="E82" t="s">
        <v>784</v>
      </c>
      <c r="F82" s="12" t="str">
        <f t="shared" si="3"/>
        <v>'A32'</v>
      </c>
      <c r="G82" s="12" t="str">
        <f t="shared" si="4"/>
        <v>'Carlos Rasgado'</v>
      </c>
      <c r="H82" t="s">
        <v>785</v>
      </c>
      <c r="I82" t="s">
        <v>654</v>
      </c>
      <c r="J82" t="str">
        <f t="shared" si="5"/>
        <v>('A32','Carlos Rasgado',1),</v>
      </c>
      <c r="N82" t="s">
        <v>948</v>
      </c>
    </row>
    <row r="83" spans="1:14" x14ac:dyDescent="0.25">
      <c r="A83" t="s">
        <v>701</v>
      </c>
      <c r="B83" t="s">
        <v>827</v>
      </c>
      <c r="C83">
        <v>1</v>
      </c>
      <c r="E83" t="s">
        <v>784</v>
      </c>
      <c r="F83" s="12" t="str">
        <f t="shared" si="3"/>
        <v>'A35'</v>
      </c>
      <c r="G83" s="12" t="str">
        <f t="shared" si="4"/>
        <v>'Jaime Llerena'</v>
      </c>
      <c r="H83" t="s">
        <v>785</v>
      </c>
      <c r="I83" t="s">
        <v>654</v>
      </c>
      <c r="J83" t="str">
        <f t="shared" si="5"/>
        <v>('A35','Jaime Llerena',1),</v>
      </c>
      <c r="N83" t="s">
        <v>949</v>
      </c>
    </row>
    <row r="84" spans="1:14" x14ac:dyDescent="0.25">
      <c r="A84" t="s">
        <v>697</v>
      </c>
      <c r="B84" t="s">
        <v>698</v>
      </c>
      <c r="C84">
        <v>1</v>
      </c>
      <c r="E84" t="s">
        <v>784</v>
      </c>
      <c r="F84" s="12" t="str">
        <f t="shared" si="3"/>
        <v>'A04'</v>
      </c>
      <c r="G84" s="12" t="str">
        <f t="shared" si="4"/>
        <v>'Rafael Nava'</v>
      </c>
      <c r="H84" t="s">
        <v>785</v>
      </c>
      <c r="I84" t="s">
        <v>654</v>
      </c>
      <c r="J84" t="str">
        <f t="shared" si="5"/>
        <v>('A04','Rafael Nava',1),</v>
      </c>
      <c r="N84" t="s">
        <v>950</v>
      </c>
    </row>
    <row r="85" spans="1:14" x14ac:dyDescent="0.25">
      <c r="A85" t="s">
        <v>697</v>
      </c>
      <c r="B85" t="s">
        <v>698</v>
      </c>
      <c r="C85">
        <v>1</v>
      </c>
      <c r="E85" t="s">
        <v>784</v>
      </c>
      <c r="F85" s="12" t="str">
        <f t="shared" si="3"/>
        <v>'A04'</v>
      </c>
      <c r="G85" s="12" t="str">
        <f t="shared" si="4"/>
        <v>'Rafael Nava'</v>
      </c>
      <c r="H85" t="s">
        <v>785</v>
      </c>
      <c r="I85" t="s">
        <v>654</v>
      </c>
      <c r="J85" t="str">
        <f t="shared" si="5"/>
        <v>('A04','Rafael Nava',1),</v>
      </c>
      <c r="N85" t="s">
        <v>951</v>
      </c>
    </row>
    <row r="86" spans="1:14" x14ac:dyDescent="0.25">
      <c r="A86" t="s">
        <v>788</v>
      </c>
      <c r="B86" t="s">
        <v>789</v>
      </c>
      <c r="C86">
        <v>1</v>
      </c>
      <c r="E86" t="s">
        <v>784</v>
      </c>
      <c r="F86" s="12" t="str">
        <f t="shared" si="3"/>
        <v>'A02'</v>
      </c>
      <c r="G86" s="12" t="str">
        <f t="shared" si="4"/>
        <v>'Eduardo Altuzar'</v>
      </c>
      <c r="H86" t="s">
        <v>785</v>
      </c>
      <c r="I86" t="s">
        <v>654</v>
      </c>
      <c r="J86" t="str">
        <f t="shared" si="5"/>
        <v>('A02','Eduardo Altuzar',1),</v>
      </c>
      <c r="N86" t="s">
        <v>952</v>
      </c>
    </row>
    <row r="87" spans="1:14" x14ac:dyDescent="0.25">
      <c r="A87" t="s">
        <v>788</v>
      </c>
      <c r="B87" t="s">
        <v>789</v>
      </c>
      <c r="C87">
        <v>1</v>
      </c>
      <c r="E87" t="s">
        <v>784</v>
      </c>
      <c r="F87" s="12" t="str">
        <f t="shared" si="3"/>
        <v>'A02'</v>
      </c>
      <c r="G87" s="12" t="str">
        <f t="shared" si="4"/>
        <v>'Eduardo Altuzar'</v>
      </c>
      <c r="H87" t="s">
        <v>785</v>
      </c>
      <c r="I87" t="s">
        <v>654</v>
      </c>
      <c r="J87" t="str">
        <f t="shared" si="5"/>
        <v>('A02','Eduardo Altuzar',1),</v>
      </c>
      <c r="N87" t="s">
        <v>953</v>
      </c>
    </row>
    <row r="88" spans="1:14" x14ac:dyDescent="0.25">
      <c r="A88" t="s">
        <v>699</v>
      </c>
      <c r="B88" t="s">
        <v>700</v>
      </c>
      <c r="C88">
        <v>1</v>
      </c>
      <c r="E88" t="s">
        <v>784</v>
      </c>
      <c r="F88" s="12" t="str">
        <f t="shared" si="3"/>
        <v>'A11'</v>
      </c>
      <c r="G88" s="12" t="str">
        <f t="shared" si="4"/>
        <v>'Sector Mazatan'</v>
      </c>
      <c r="H88" t="s">
        <v>785</v>
      </c>
      <c r="I88" t="s">
        <v>654</v>
      </c>
      <c r="J88" t="str">
        <f t="shared" si="5"/>
        <v>('A11','Sector Mazatan',1),</v>
      </c>
      <c r="N88" t="s">
        <v>954</v>
      </c>
    </row>
    <row r="89" spans="1:14" x14ac:dyDescent="0.25">
      <c r="A89" t="s">
        <v>737</v>
      </c>
      <c r="B89" t="s">
        <v>738</v>
      </c>
      <c r="C89">
        <v>1</v>
      </c>
      <c r="E89" t="s">
        <v>784</v>
      </c>
      <c r="F89" s="12" t="str">
        <f t="shared" si="3"/>
        <v>'A25'</v>
      </c>
      <c r="G89" s="12" t="str">
        <f t="shared" si="4"/>
        <v>'Gerardo Turriza'</v>
      </c>
      <c r="H89" t="s">
        <v>785</v>
      </c>
      <c r="I89" t="s">
        <v>654</v>
      </c>
      <c r="J89" t="str">
        <f t="shared" si="5"/>
        <v>('A25','Gerardo Turriza',1),</v>
      </c>
      <c r="N89" t="s">
        <v>955</v>
      </c>
    </row>
    <row r="90" spans="1:14" x14ac:dyDescent="0.25">
      <c r="A90" t="s">
        <v>828</v>
      </c>
      <c r="B90" t="s">
        <v>829</v>
      </c>
      <c r="C90">
        <v>1</v>
      </c>
      <c r="E90" t="s">
        <v>784</v>
      </c>
      <c r="F90" s="12" t="str">
        <f t="shared" si="3"/>
        <v>'A33'</v>
      </c>
      <c r="G90" s="12" t="str">
        <f t="shared" si="4"/>
        <v>'Alfredo Escobar'</v>
      </c>
      <c r="H90" t="s">
        <v>785</v>
      </c>
      <c r="I90" t="s">
        <v>654</v>
      </c>
      <c r="J90" t="str">
        <f t="shared" si="5"/>
        <v>('A33','Alfredo Escobar',1),</v>
      </c>
      <c r="N90" t="s">
        <v>956</v>
      </c>
    </row>
    <row r="91" spans="1:14" x14ac:dyDescent="0.25">
      <c r="A91" t="s">
        <v>732</v>
      </c>
      <c r="B91" t="s">
        <v>733</v>
      </c>
      <c r="C91">
        <v>1</v>
      </c>
      <c r="E91" t="s">
        <v>784</v>
      </c>
      <c r="F91" s="12" t="str">
        <f t="shared" si="3"/>
        <v>'A36'</v>
      </c>
      <c r="G91" s="12" t="str">
        <f t="shared" si="4"/>
        <v>'Herbert Blanco'</v>
      </c>
      <c r="H91" t="s">
        <v>785</v>
      </c>
      <c r="I91" t="s">
        <v>654</v>
      </c>
      <c r="J91" t="str">
        <f t="shared" si="5"/>
        <v>('A36','Herbert Blanco',1),</v>
      </c>
      <c r="N91" t="s">
        <v>957</v>
      </c>
    </row>
    <row r="92" spans="1:14" x14ac:dyDescent="0.25">
      <c r="A92" t="s">
        <v>830</v>
      </c>
      <c r="B92" t="s">
        <v>831</v>
      </c>
      <c r="C92">
        <v>1</v>
      </c>
      <c r="E92" t="s">
        <v>784</v>
      </c>
      <c r="F92" s="12" t="str">
        <f t="shared" si="3"/>
        <v>'A37'</v>
      </c>
      <c r="G92" s="12" t="str">
        <f t="shared" si="4"/>
        <v>'Miguel Albores '</v>
      </c>
      <c r="H92" t="s">
        <v>785</v>
      </c>
      <c r="I92" t="s">
        <v>654</v>
      </c>
      <c r="J92" t="str">
        <f t="shared" si="5"/>
        <v>('A37','Miguel Albores ',1),</v>
      </c>
      <c r="N92" t="s">
        <v>958</v>
      </c>
    </row>
    <row r="93" spans="1:14" x14ac:dyDescent="0.25">
      <c r="A93" t="s">
        <v>699</v>
      </c>
      <c r="B93" t="s">
        <v>700</v>
      </c>
      <c r="C93">
        <v>1</v>
      </c>
      <c r="E93" t="s">
        <v>784</v>
      </c>
      <c r="F93" s="12" t="str">
        <f t="shared" si="3"/>
        <v>'A11'</v>
      </c>
      <c r="G93" s="12" t="str">
        <f t="shared" si="4"/>
        <v>'Sector Mazatan'</v>
      </c>
      <c r="H93" t="s">
        <v>785</v>
      </c>
      <c r="I93" t="s">
        <v>654</v>
      </c>
      <c r="J93" t="str">
        <f t="shared" si="5"/>
        <v>('A11','Sector Mazatan',1),</v>
      </c>
      <c r="N93" t="s">
        <v>959</v>
      </c>
    </row>
    <row r="94" spans="1:14" x14ac:dyDescent="0.25">
      <c r="A94" t="s">
        <v>735</v>
      </c>
      <c r="B94" t="s">
        <v>736</v>
      </c>
      <c r="C94">
        <v>1</v>
      </c>
      <c r="E94" t="s">
        <v>784</v>
      </c>
      <c r="F94" s="12" t="str">
        <f t="shared" si="3"/>
        <v>'A26'</v>
      </c>
      <c r="G94" s="12" t="str">
        <f t="shared" si="4"/>
        <v>'Manuel Tamayo'</v>
      </c>
      <c r="H94" t="s">
        <v>785</v>
      </c>
      <c r="I94" t="s">
        <v>654</v>
      </c>
      <c r="J94" t="str">
        <f t="shared" si="5"/>
        <v>('A26','Manuel Tamayo',1),</v>
      </c>
      <c r="N94" t="s">
        <v>960</v>
      </c>
    </row>
    <row r="95" spans="1:14" x14ac:dyDescent="0.25">
      <c r="A95" t="s">
        <v>743</v>
      </c>
      <c r="B95" t="s">
        <v>744</v>
      </c>
      <c r="C95">
        <v>1</v>
      </c>
      <c r="E95" t="s">
        <v>784</v>
      </c>
      <c r="F95" s="12" t="str">
        <f t="shared" si="3"/>
        <v>'A38'</v>
      </c>
      <c r="G95" s="12" t="str">
        <f t="shared" si="4"/>
        <v>'Exal Moreno'</v>
      </c>
      <c r="H95" t="s">
        <v>785</v>
      </c>
      <c r="I95" t="s">
        <v>654</v>
      </c>
      <c r="J95" t="str">
        <f t="shared" si="5"/>
        <v>('A38','Exal Moreno',1),</v>
      </c>
      <c r="N95" t="s">
        <v>961</v>
      </c>
    </row>
    <row r="96" spans="1:14" x14ac:dyDescent="0.25">
      <c r="A96" t="s">
        <v>745</v>
      </c>
      <c r="B96" t="s">
        <v>746</v>
      </c>
      <c r="C96">
        <v>1</v>
      </c>
      <c r="E96" t="s">
        <v>784</v>
      </c>
      <c r="F96" s="12" t="str">
        <f t="shared" si="3"/>
        <v>'A39'</v>
      </c>
      <c r="G96" s="12" t="str">
        <f t="shared" si="4"/>
        <v>'Nallely Gonzalez'</v>
      </c>
      <c r="H96" t="s">
        <v>785</v>
      </c>
      <c r="I96" t="s">
        <v>654</v>
      </c>
      <c r="J96" t="str">
        <f t="shared" si="5"/>
        <v>('A39','Nallely Gonzalez',1),</v>
      </c>
      <c r="N96" t="s">
        <v>962</v>
      </c>
    </row>
    <row r="97" spans="1:14" x14ac:dyDescent="0.25">
      <c r="A97" t="s">
        <v>752</v>
      </c>
      <c r="B97" t="s">
        <v>753</v>
      </c>
      <c r="C97">
        <v>1</v>
      </c>
      <c r="E97" t="s">
        <v>784</v>
      </c>
      <c r="F97" s="12" t="str">
        <f t="shared" si="3"/>
        <v>'A40'</v>
      </c>
      <c r="G97" s="12" t="str">
        <f t="shared" si="4"/>
        <v>'Secundino Beitia'</v>
      </c>
      <c r="H97" t="s">
        <v>785</v>
      </c>
      <c r="I97" t="s">
        <v>654</v>
      </c>
      <c r="J97" t="str">
        <f t="shared" si="5"/>
        <v>('A40','Secundino Beitia',1),</v>
      </c>
      <c r="N97" t="s">
        <v>963</v>
      </c>
    </row>
    <row r="98" spans="1:14" x14ac:dyDescent="0.25">
      <c r="A98" t="s">
        <v>752</v>
      </c>
      <c r="B98" t="s">
        <v>753</v>
      </c>
      <c r="C98">
        <v>1</v>
      </c>
      <c r="E98" t="s">
        <v>784</v>
      </c>
      <c r="F98" s="12" t="str">
        <f t="shared" si="3"/>
        <v>'A40'</v>
      </c>
      <c r="G98" s="12" t="str">
        <f t="shared" si="4"/>
        <v>'Secundino Beitia'</v>
      </c>
      <c r="H98" t="s">
        <v>785</v>
      </c>
      <c r="I98" t="s">
        <v>654</v>
      </c>
      <c r="J98" t="str">
        <f t="shared" si="5"/>
        <v>('A40','Secundino Beitia',1),</v>
      </c>
      <c r="N98" t="s">
        <v>964</v>
      </c>
    </row>
    <row r="99" spans="1:14" x14ac:dyDescent="0.25">
      <c r="A99" t="s">
        <v>697</v>
      </c>
      <c r="B99" t="s">
        <v>698</v>
      </c>
      <c r="C99">
        <v>1</v>
      </c>
      <c r="E99" t="s">
        <v>784</v>
      </c>
      <c r="F99" s="12" t="str">
        <f t="shared" si="3"/>
        <v>'A04'</v>
      </c>
      <c r="G99" s="12" t="str">
        <f t="shared" si="4"/>
        <v>'Rafael Nava'</v>
      </c>
      <c r="H99" t="s">
        <v>785</v>
      </c>
      <c r="I99" t="s">
        <v>654</v>
      </c>
      <c r="J99" t="str">
        <f t="shared" si="5"/>
        <v>('A04','Rafael Nava',1),</v>
      </c>
      <c r="N99" t="s">
        <v>965</v>
      </c>
    </row>
    <row r="100" spans="1:14" x14ac:dyDescent="0.25">
      <c r="A100" t="s">
        <v>735</v>
      </c>
      <c r="B100" t="s">
        <v>736</v>
      </c>
      <c r="C100">
        <v>1</v>
      </c>
      <c r="E100" t="s">
        <v>784</v>
      </c>
      <c r="F100" s="12" t="str">
        <f t="shared" si="3"/>
        <v>'A26'</v>
      </c>
      <c r="G100" s="12" t="str">
        <f t="shared" si="4"/>
        <v>'Manuel Tamayo'</v>
      </c>
      <c r="H100" t="s">
        <v>785</v>
      </c>
      <c r="I100" t="s">
        <v>654</v>
      </c>
      <c r="J100" t="str">
        <f t="shared" si="5"/>
        <v>('A26','Manuel Tamayo',1),</v>
      </c>
      <c r="N100" t="s">
        <v>966</v>
      </c>
    </row>
    <row r="101" spans="1:14" x14ac:dyDescent="0.25">
      <c r="A101" t="s">
        <v>772</v>
      </c>
      <c r="B101" t="s">
        <v>776</v>
      </c>
      <c r="C101">
        <v>1</v>
      </c>
      <c r="E101" t="s">
        <v>784</v>
      </c>
      <c r="F101" s="12" t="str">
        <f t="shared" si="3"/>
        <v>'A41'</v>
      </c>
      <c r="G101" s="12" t="str">
        <f t="shared" si="4"/>
        <v>'Jair Velazquez'</v>
      </c>
      <c r="H101" t="s">
        <v>785</v>
      </c>
      <c r="I101" t="s">
        <v>654</v>
      </c>
      <c r="J101" t="str">
        <f t="shared" si="5"/>
        <v>('A41','Jair Velazquez',1),</v>
      </c>
    </row>
    <row r="102" spans="1:14" x14ac:dyDescent="0.25">
      <c r="A102" t="s">
        <v>715</v>
      </c>
      <c r="B102" t="s">
        <v>716</v>
      </c>
      <c r="C102">
        <v>1</v>
      </c>
      <c r="E102" t="s">
        <v>784</v>
      </c>
      <c r="F102" s="12" t="str">
        <f t="shared" si="3"/>
        <v>'B03'</v>
      </c>
      <c r="G102" s="12" t="str">
        <f t="shared" si="4"/>
        <v>'Larifrut'</v>
      </c>
      <c r="H102" t="s">
        <v>785</v>
      </c>
      <c r="I102" t="s">
        <v>654</v>
      </c>
      <c r="J102" t="str">
        <f t="shared" si="5"/>
        <v>('B03','Larifrut',1),</v>
      </c>
    </row>
    <row r="103" spans="1:14" x14ac:dyDescent="0.25">
      <c r="A103" t="s">
        <v>707</v>
      </c>
      <c r="B103" t="s">
        <v>708</v>
      </c>
      <c r="C103">
        <v>1</v>
      </c>
      <c r="E103" t="s">
        <v>784</v>
      </c>
      <c r="F103" s="12" t="str">
        <f t="shared" si="3"/>
        <v>'B01'</v>
      </c>
      <c r="G103" s="12" t="str">
        <f t="shared" si="4"/>
        <v>'Ricamp'</v>
      </c>
      <c r="H103" t="s">
        <v>785</v>
      </c>
      <c r="I103" t="s">
        <v>654</v>
      </c>
      <c r="J103" t="str">
        <f t="shared" si="5"/>
        <v>('B01','Ricamp',1),</v>
      </c>
    </row>
    <row r="104" spans="1:14" x14ac:dyDescent="0.25">
      <c r="A104" t="s">
        <v>707</v>
      </c>
      <c r="B104" t="s">
        <v>708</v>
      </c>
      <c r="C104">
        <v>1</v>
      </c>
      <c r="E104" t="s">
        <v>784</v>
      </c>
      <c r="F104" s="12" t="str">
        <f t="shared" si="3"/>
        <v>'B01'</v>
      </c>
      <c r="G104" s="12" t="str">
        <f t="shared" si="4"/>
        <v>'Ricamp'</v>
      </c>
      <c r="H104" t="s">
        <v>785</v>
      </c>
      <c r="I104" t="s">
        <v>654</v>
      </c>
      <c r="J104" t="str">
        <f t="shared" si="5"/>
        <v>('B01','Ricamp',1),</v>
      </c>
    </row>
    <row r="105" spans="1:14" x14ac:dyDescent="0.25">
      <c r="A105" t="s">
        <v>741</v>
      </c>
      <c r="B105" t="s">
        <v>742</v>
      </c>
      <c r="C105">
        <v>1</v>
      </c>
      <c r="E105" t="s">
        <v>784</v>
      </c>
      <c r="F105" s="12" t="str">
        <f t="shared" si="3"/>
        <v>'B04'</v>
      </c>
      <c r="G105" s="12" t="str">
        <f t="shared" si="4"/>
        <v>'Banamac'</v>
      </c>
      <c r="H105" t="s">
        <v>785</v>
      </c>
      <c r="I105" t="s">
        <v>654</v>
      </c>
      <c r="J105" t="str">
        <f t="shared" si="5"/>
        <v>('B04','Banamac',1),</v>
      </c>
    </row>
    <row r="106" spans="1:14" x14ac:dyDescent="0.25">
      <c r="C106">
        <v>1</v>
      </c>
      <c r="E106" t="s">
        <v>784</v>
      </c>
      <c r="F106" s="12" t="str">
        <f t="shared" si="3"/>
        <v>''</v>
      </c>
      <c r="G106" s="12" t="str">
        <f t="shared" si="4"/>
        <v>''</v>
      </c>
      <c r="H106" t="s">
        <v>785</v>
      </c>
      <c r="I106" t="s">
        <v>654</v>
      </c>
      <c r="J106" t="str">
        <f t="shared" si="5"/>
        <v>('','',1),</v>
      </c>
    </row>
    <row r="107" spans="1:14" x14ac:dyDescent="0.25">
      <c r="A107" t="s">
        <v>707</v>
      </c>
      <c r="B107" t="s">
        <v>708</v>
      </c>
      <c r="C107">
        <v>1</v>
      </c>
      <c r="E107" t="s">
        <v>784</v>
      </c>
      <c r="F107" s="12" t="str">
        <f t="shared" si="3"/>
        <v>'B01'</v>
      </c>
      <c r="G107" s="12" t="str">
        <f t="shared" si="4"/>
        <v>'Ricamp'</v>
      </c>
      <c r="H107" t="s">
        <v>785</v>
      </c>
      <c r="I107" t="s">
        <v>654</v>
      </c>
      <c r="J107" t="str">
        <f t="shared" si="5"/>
        <v>('B01','Ricamp',1),</v>
      </c>
    </row>
    <row r="108" spans="1:14" x14ac:dyDescent="0.25">
      <c r="A108" t="s">
        <v>707</v>
      </c>
      <c r="B108" t="s">
        <v>708</v>
      </c>
      <c r="C108">
        <v>1</v>
      </c>
      <c r="E108" t="s">
        <v>784</v>
      </c>
      <c r="F108" s="12" t="str">
        <f t="shared" si="3"/>
        <v>'B01'</v>
      </c>
      <c r="G108" s="12" t="str">
        <f t="shared" si="4"/>
        <v>'Ricamp'</v>
      </c>
      <c r="H108" t="s">
        <v>785</v>
      </c>
      <c r="I108" t="s">
        <v>654</v>
      </c>
      <c r="J108" t="str">
        <f t="shared" si="5"/>
        <v>('B01','Ricamp',1),</v>
      </c>
    </row>
    <row r="109" spans="1:14" x14ac:dyDescent="0.25">
      <c r="A109" t="s">
        <v>707</v>
      </c>
      <c r="B109" t="s">
        <v>708</v>
      </c>
      <c r="C109">
        <v>1</v>
      </c>
      <c r="E109" t="s">
        <v>784</v>
      </c>
      <c r="F109" s="12" t="str">
        <f t="shared" si="3"/>
        <v>'B01'</v>
      </c>
      <c r="G109" s="12" t="str">
        <f t="shared" si="4"/>
        <v>'Ricamp'</v>
      </c>
      <c r="H109" t="s">
        <v>785</v>
      </c>
      <c r="I109" t="s">
        <v>654</v>
      </c>
      <c r="J109" t="str">
        <f t="shared" si="5"/>
        <v>('B01','Ricamp',1),</v>
      </c>
    </row>
    <row r="110" spans="1:14" x14ac:dyDescent="0.25">
      <c r="A110" t="s">
        <v>707</v>
      </c>
      <c r="B110" t="s">
        <v>708</v>
      </c>
      <c r="C110">
        <v>1</v>
      </c>
      <c r="E110" t="s">
        <v>784</v>
      </c>
      <c r="F110" s="12" t="str">
        <f t="shared" si="3"/>
        <v>'B01'</v>
      </c>
      <c r="G110" s="12" t="str">
        <f t="shared" si="4"/>
        <v>'Ricamp'</v>
      </c>
      <c r="H110" t="s">
        <v>785</v>
      </c>
      <c r="I110" t="s">
        <v>654</v>
      </c>
      <c r="J110" t="str">
        <f t="shared" si="5"/>
        <v>('B01','Ricamp',1),</v>
      </c>
    </row>
    <row r="111" spans="1:14" x14ac:dyDescent="0.25">
      <c r="C111">
        <v>1</v>
      </c>
      <c r="E111" t="s">
        <v>784</v>
      </c>
      <c r="F111" s="12" t="str">
        <f t="shared" si="3"/>
        <v>''</v>
      </c>
      <c r="G111" s="12" t="str">
        <f t="shared" si="4"/>
        <v>''</v>
      </c>
      <c r="H111" t="s">
        <v>785</v>
      </c>
      <c r="I111" t="s">
        <v>654</v>
      </c>
      <c r="J111" t="str">
        <f t="shared" si="5"/>
        <v>('','',1),</v>
      </c>
    </row>
    <row r="112" spans="1:14" x14ac:dyDescent="0.25">
      <c r="C112">
        <v>1</v>
      </c>
      <c r="E112" t="s">
        <v>784</v>
      </c>
      <c r="F112" s="12" t="str">
        <f t="shared" si="3"/>
        <v>''</v>
      </c>
      <c r="G112" s="12" t="str">
        <f t="shared" si="4"/>
        <v>''</v>
      </c>
      <c r="H112" t="s">
        <v>785</v>
      </c>
      <c r="I112" t="s">
        <v>654</v>
      </c>
      <c r="J112" t="str">
        <f t="shared" si="5"/>
        <v>('','',1),</v>
      </c>
    </row>
    <row r="113" spans="1:10" x14ac:dyDescent="0.25">
      <c r="C113">
        <v>1</v>
      </c>
      <c r="E113" t="s">
        <v>784</v>
      </c>
      <c r="F113" s="12" t="str">
        <f t="shared" si="3"/>
        <v>''</v>
      </c>
      <c r="G113" s="12" t="str">
        <f t="shared" si="4"/>
        <v>''</v>
      </c>
      <c r="H113" t="s">
        <v>785</v>
      </c>
      <c r="I113" t="s">
        <v>654</v>
      </c>
      <c r="J113" t="str">
        <f t="shared" si="5"/>
        <v>('','',1),</v>
      </c>
    </row>
    <row r="114" spans="1:10" x14ac:dyDescent="0.25">
      <c r="C114">
        <v>1</v>
      </c>
      <c r="E114" t="s">
        <v>784</v>
      </c>
      <c r="F114" s="12" t="str">
        <f t="shared" si="3"/>
        <v>''</v>
      </c>
      <c r="G114" s="12" t="str">
        <f t="shared" si="4"/>
        <v>''</v>
      </c>
      <c r="H114" t="s">
        <v>785</v>
      </c>
      <c r="I114" t="s">
        <v>654</v>
      </c>
      <c r="J114" t="str">
        <f t="shared" si="5"/>
        <v>('','',1),</v>
      </c>
    </row>
    <row r="115" spans="1:10" x14ac:dyDescent="0.25">
      <c r="A115" t="s">
        <v>707</v>
      </c>
      <c r="B115" t="s">
        <v>708</v>
      </c>
      <c r="C115">
        <v>1</v>
      </c>
      <c r="E115" t="s">
        <v>784</v>
      </c>
      <c r="F115" s="12" t="str">
        <f t="shared" si="3"/>
        <v>'B01'</v>
      </c>
      <c r="G115" s="12" t="str">
        <f t="shared" si="4"/>
        <v>'Ricamp'</v>
      </c>
      <c r="H115" t="s">
        <v>785</v>
      </c>
      <c r="I115" t="s">
        <v>654</v>
      </c>
      <c r="J115" t="str">
        <f t="shared" si="5"/>
        <v>('B01','Ricamp',1),</v>
      </c>
    </row>
    <row r="116" spans="1:10" x14ac:dyDescent="0.25">
      <c r="A116" t="s">
        <v>705</v>
      </c>
      <c r="B116" t="s">
        <v>706</v>
      </c>
      <c r="C116">
        <v>1</v>
      </c>
      <c r="E116" t="s">
        <v>784</v>
      </c>
      <c r="F116" s="12" t="str">
        <f t="shared" si="3"/>
        <v>'B12'</v>
      </c>
      <c r="G116" s="12" t="str">
        <f t="shared" si="4"/>
        <v>'Ramon Larios'</v>
      </c>
      <c r="H116" t="s">
        <v>785</v>
      </c>
      <c r="I116" t="s">
        <v>654</v>
      </c>
      <c r="J116" t="str">
        <f t="shared" si="5"/>
        <v>('B12','Ramon Larios',1),</v>
      </c>
    </row>
    <row r="117" spans="1:10" x14ac:dyDescent="0.25">
      <c r="A117" t="s">
        <v>707</v>
      </c>
      <c r="B117" t="s">
        <v>708</v>
      </c>
      <c r="C117">
        <v>1</v>
      </c>
      <c r="E117" t="s">
        <v>784</v>
      </c>
      <c r="F117" s="12" t="str">
        <f t="shared" si="3"/>
        <v>'B01'</v>
      </c>
      <c r="G117" s="12" t="str">
        <f t="shared" si="4"/>
        <v>'Ricamp'</v>
      </c>
      <c r="H117" t="s">
        <v>785</v>
      </c>
      <c r="I117" t="s">
        <v>654</v>
      </c>
      <c r="J117" t="str">
        <f t="shared" si="5"/>
        <v>('B01','Ricamp',1),</v>
      </c>
    </row>
    <row r="118" spans="1:10" x14ac:dyDescent="0.25">
      <c r="A118" t="s">
        <v>709</v>
      </c>
      <c r="B118" t="s">
        <v>710</v>
      </c>
      <c r="C118">
        <v>1</v>
      </c>
      <c r="E118" t="s">
        <v>784</v>
      </c>
      <c r="F118" s="12" t="str">
        <f t="shared" si="3"/>
        <v>'B05'</v>
      </c>
      <c r="G118" s="12" t="str">
        <f t="shared" si="4"/>
        <v>'Maria Elena'</v>
      </c>
      <c r="H118" t="s">
        <v>785</v>
      </c>
      <c r="I118" t="s">
        <v>654</v>
      </c>
      <c r="J118" t="str">
        <f t="shared" si="5"/>
        <v>('B05','Maria Elena',1),</v>
      </c>
    </row>
    <row r="119" spans="1:10" x14ac:dyDescent="0.25">
      <c r="A119" t="s">
        <v>707</v>
      </c>
      <c r="B119" t="s">
        <v>708</v>
      </c>
      <c r="C119">
        <v>1</v>
      </c>
      <c r="E119" t="s">
        <v>784</v>
      </c>
      <c r="F119" s="12" t="str">
        <f t="shared" si="3"/>
        <v>'B01'</v>
      </c>
      <c r="G119" s="12" t="str">
        <f t="shared" si="4"/>
        <v>'Ricamp'</v>
      </c>
      <c r="H119" t="s">
        <v>785</v>
      </c>
      <c r="I119" t="s">
        <v>654</v>
      </c>
      <c r="J119" t="str">
        <f t="shared" si="5"/>
        <v>('B01','Ricamp',1),</v>
      </c>
    </row>
    <row r="120" spans="1:10" x14ac:dyDescent="0.25">
      <c r="A120" t="s">
        <v>707</v>
      </c>
      <c r="B120" t="s">
        <v>708</v>
      </c>
      <c r="C120">
        <v>1</v>
      </c>
      <c r="E120" t="s">
        <v>784</v>
      </c>
      <c r="F120" s="12" t="str">
        <f t="shared" si="3"/>
        <v>'B01'</v>
      </c>
      <c r="G120" s="12" t="str">
        <f t="shared" si="4"/>
        <v>'Ricamp'</v>
      </c>
      <c r="H120" t="s">
        <v>785</v>
      </c>
      <c r="I120" t="s">
        <v>654</v>
      </c>
      <c r="J120" t="str">
        <f t="shared" si="5"/>
        <v>('B01','Ricamp',1),</v>
      </c>
    </row>
    <row r="121" spans="1:10" x14ac:dyDescent="0.25">
      <c r="A121" t="s">
        <v>707</v>
      </c>
      <c r="B121" t="s">
        <v>708</v>
      </c>
      <c r="C121">
        <v>1</v>
      </c>
      <c r="E121" t="s">
        <v>784</v>
      </c>
      <c r="F121" s="12" t="str">
        <f t="shared" si="3"/>
        <v>'B01'</v>
      </c>
      <c r="G121" s="12" t="str">
        <f t="shared" si="4"/>
        <v>'Ricamp'</v>
      </c>
      <c r="H121" t="s">
        <v>785</v>
      </c>
      <c r="I121" t="s">
        <v>654</v>
      </c>
      <c r="J121" t="str">
        <f t="shared" si="5"/>
        <v>('B01','Ricamp',1),</v>
      </c>
    </row>
    <row r="122" spans="1:10" x14ac:dyDescent="0.25">
      <c r="C122">
        <v>1</v>
      </c>
      <c r="E122" t="s">
        <v>784</v>
      </c>
      <c r="F122" s="12" t="str">
        <f t="shared" si="3"/>
        <v>''</v>
      </c>
      <c r="G122" s="12" t="str">
        <f t="shared" si="4"/>
        <v>''</v>
      </c>
      <c r="H122" t="s">
        <v>785</v>
      </c>
      <c r="I122" t="s">
        <v>654</v>
      </c>
      <c r="J122" t="str">
        <f t="shared" si="5"/>
        <v>('','',1),</v>
      </c>
    </row>
    <row r="123" spans="1:10" x14ac:dyDescent="0.25">
      <c r="A123" t="s">
        <v>707</v>
      </c>
      <c r="B123" t="s">
        <v>708</v>
      </c>
      <c r="C123">
        <v>1</v>
      </c>
      <c r="E123" t="s">
        <v>784</v>
      </c>
      <c r="F123" s="12" t="str">
        <f t="shared" si="3"/>
        <v>'B01'</v>
      </c>
      <c r="G123" s="12" t="str">
        <f t="shared" si="4"/>
        <v>'Ricamp'</v>
      </c>
      <c r="H123" t="s">
        <v>785</v>
      </c>
      <c r="I123" t="s">
        <v>654</v>
      </c>
      <c r="J123" t="str">
        <f t="shared" si="5"/>
        <v>('B01','Ricamp',1),</v>
      </c>
    </row>
    <row r="124" spans="1:10" x14ac:dyDescent="0.25">
      <c r="A124" t="s">
        <v>707</v>
      </c>
      <c r="B124" t="s">
        <v>708</v>
      </c>
      <c r="C124">
        <v>1</v>
      </c>
      <c r="E124" t="s">
        <v>784</v>
      </c>
      <c r="F124" s="12" t="str">
        <f t="shared" si="3"/>
        <v>'B01'</v>
      </c>
      <c r="G124" s="12" t="str">
        <f t="shared" si="4"/>
        <v>'Ricamp'</v>
      </c>
      <c r="H124" t="s">
        <v>785</v>
      </c>
      <c r="I124" t="s">
        <v>654</v>
      </c>
      <c r="J124" t="str">
        <f t="shared" si="5"/>
        <v>('B01','Ricamp',1),</v>
      </c>
    </row>
    <row r="125" spans="1:10" x14ac:dyDescent="0.25">
      <c r="A125" t="s">
        <v>707</v>
      </c>
      <c r="B125" t="s">
        <v>708</v>
      </c>
      <c r="C125">
        <v>1</v>
      </c>
      <c r="E125" t="s">
        <v>784</v>
      </c>
      <c r="F125" s="12" t="str">
        <f t="shared" si="3"/>
        <v>'B01'</v>
      </c>
      <c r="G125" s="12" t="str">
        <f t="shared" si="4"/>
        <v>'Ricamp'</v>
      </c>
      <c r="H125" t="s">
        <v>785</v>
      </c>
      <c r="I125" t="s">
        <v>654</v>
      </c>
      <c r="J125" t="str">
        <f t="shared" si="5"/>
        <v>('B01','Ricamp',1),</v>
      </c>
    </row>
    <row r="126" spans="1:10" x14ac:dyDescent="0.25">
      <c r="A126" t="s">
        <v>832</v>
      </c>
      <c r="B126" t="s">
        <v>716</v>
      </c>
      <c r="C126">
        <v>1</v>
      </c>
      <c r="E126" t="s">
        <v>784</v>
      </c>
      <c r="F126" s="12" t="str">
        <f t="shared" si="3"/>
        <v>'B3'</v>
      </c>
      <c r="G126" s="12" t="str">
        <f t="shared" si="4"/>
        <v>'Larifrut'</v>
      </c>
      <c r="H126" t="s">
        <v>785</v>
      </c>
      <c r="I126" t="s">
        <v>654</v>
      </c>
      <c r="J126" t="str">
        <f t="shared" si="5"/>
        <v>('B3','Larifrut',1),</v>
      </c>
    </row>
    <row r="127" spans="1:10" x14ac:dyDescent="0.25">
      <c r="A127" t="s">
        <v>707</v>
      </c>
      <c r="B127" t="s">
        <v>708</v>
      </c>
      <c r="C127">
        <v>1</v>
      </c>
      <c r="E127" t="s">
        <v>784</v>
      </c>
      <c r="F127" s="12" t="str">
        <f t="shared" si="3"/>
        <v>'B01'</v>
      </c>
      <c r="G127" s="12" t="str">
        <f t="shared" si="4"/>
        <v>'Ricamp'</v>
      </c>
      <c r="H127" t="s">
        <v>785</v>
      </c>
      <c r="I127" t="s">
        <v>654</v>
      </c>
      <c r="J127" t="str">
        <f t="shared" si="5"/>
        <v>('B01','Ricamp',1),</v>
      </c>
    </row>
    <row r="128" spans="1:10" x14ac:dyDescent="0.25">
      <c r="A128" t="s">
        <v>707</v>
      </c>
      <c r="B128" t="s">
        <v>708</v>
      </c>
      <c r="C128">
        <v>1</v>
      </c>
      <c r="E128" t="s">
        <v>784</v>
      </c>
      <c r="F128" s="12" t="str">
        <f t="shared" si="3"/>
        <v>'B01'</v>
      </c>
      <c r="G128" s="12" t="str">
        <f t="shared" si="4"/>
        <v>'Ricamp'</v>
      </c>
      <c r="H128" t="s">
        <v>785</v>
      </c>
      <c r="I128" t="s">
        <v>654</v>
      </c>
      <c r="J128" t="str">
        <f t="shared" si="5"/>
        <v>('B01','Ricamp',1),</v>
      </c>
    </row>
    <row r="129" spans="1:10" x14ac:dyDescent="0.25">
      <c r="A129" t="s">
        <v>707</v>
      </c>
      <c r="B129" t="s">
        <v>708</v>
      </c>
      <c r="C129">
        <v>1</v>
      </c>
      <c r="E129" t="s">
        <v>784</v>
      </c>
      <c r="F129" s="12" t="str">
        <f t="shared" si="3"/>
        <v>'B01'</v>
      </c>
      <c r="G129" s="12" t="str">
        <f t="shared" si="4"/>
        <v>'Ricamp'</v>
      </c>
      <c r="H129" t="s">
        <v>785</v>
      </c>
      <c r="I129" t="s">
        <v>654</v>
      </c>
      <c r="J129" t="str">
        <f t="shared" si="5"/>
        <v>('B01','Ricamp',1),</v>
      </c>
    </row>
    <row r="130" spans="1:10" x14ac:dyDescent="0.25">
      <c r="C130">
        <v>1</v>
      </c>
      <c r="E130" t="s">
        <v>784</v>
      </c>
      <c r="F130" s="12" t="str">
        <f t="shared" si="3"/>
        <v>''</v>
      </c>
      <c r="G130" s="12" t="str">
        <f t="shared" si="4"/>
        <v>''</v>
      </c>
      <c r="H130" t="s">
        <v>785</v>
      </c>
      <c r="I130" t="s">
        <v>654</v>
      </c>
      <c r="J130" t="str">
        <f t="shared" si="5"/>
        <v>('','',1),</v>
      </c>
    </row>
    <row r="131" spans="1:10" x14ac:dyDescent="0.25">
      <c r="A131" t="s">
        <v>709</v>
      </c>
      <c r="B131" t="s">
        <v>710</v>
      </c>
      <c r="C131">
        <v>1</v>
      </c>
      <c r="E131" t="s">
        <v>784</v>
      </c>
      <c r="F131" s="12" t="str">
        <f t="shared" ref="F131:F194" si="6">+"'"&amp;A131&amp;"'"</f>
        <v>'B05'</v>
      </c>
      <c r="G131" s="12" t="str">
        <f t="shared" ref="G131:G194" si="7">+"'"&amp;B131&amp;"'"</f>
        <v>'Maria Elena'</v>
      </c>
      <c r="H131" t="s">
        <v>785</v>
      </c>
      <c r="I131" t="s">
        <v>654</v>
      </c>
      <c r="J131" t="str">
        <f t="shared" ref="J131:J194" si="8">+E131&amp;F131&amp;I131&amp;G131&amp;I131&amp;C131&amp;H131&amp;I131</f>
        <v>('B05','Maria Elena',1),</v>
      </c>
    </row>
    <row r="132" spans="1:10" x14ac:dyDescent="0.25">
      <c r="C132">
        <v>1</v>
      </c>
      <c r="E132" t="s">
        <v>784</v>
      </c>
      <c r="F132" s="12" t="str">
        <f t="shared" si="6"/>
        <v>''</v>
      </c>
      <c r="G132" s="12" t="str">
        <f t="shared" si="7"/>
        <v>''</v>
      </c>
      <c r="H132" t="s">
        <v>785</v>
      </c>
      <c r="I132" t="s">
        <v>654</v>
      </c>
      <c r="J132" t="str">
        <f t="shared" si="8"/>
        <v>('','',1),</v>
      </c>
    </row>
    <row r="133" spans="1:10" x14ac:dyDescent="0.25">
      <c r="C133">
        <v>1</v>
      </c>
      <c r="E133" t="s">
        <v>784</v>
      </c>
      <c r="F133" s="12" t="str">
        <f t="shared" si="6"/>
        <v>''</v>
      </c>
      <c r="G133" s="12" t="str">
        <f t="shared" si="7"/>
        <v>''</v>
      </c>
      <c r="H133" t="s">
        <v>785</v>
      </c>
      <c r="I133" t="s">
        <v>654</v>
      </c>
      <c r="J133" t="str">
        <f t="shared" si="8"/>
        <v>('','',1),</v>
      </c>
    </row>
    <row r="134" spans="1:10" x14ac:dyDescent="0.25">
      <c r="A134" t="s">
        <v>707</v>
      </c>
      <c r="B134" t="s">
        <v>708</v>
      </c>
      <c r="C134">
        <v>1</v>
      </c>
      <c r="E134" t="s">
        <v>784</v>
      </c>
      <c r="F134" s="12" t="str">
        <f t="shared" si="6"/>
        <v>'B01'</v>
      </c>
      <c r="G134" s="12" t="str">
        <f t="shared" si="7"/>
        <v>'Ricamp'</v>
      </c>
      <c r="H134" t="s">
        <v>785</v>
      </c>
      <c r="I134" t="s">
        <v>654</v>
      </c>
      <c r="J134" t="str">
        <f t="shared" si="8"/>
        <v>('B01','Ricamp',1),</v>
      </c>
    </row>
    <row r="135" spans="1:10" x14ac:dyDescent="0.25">
      <c r="A135" t="s">
        <v>707</v>
      </c>
      <c r="B135" t="s">
        <v>708</v>
      </c>
      <c r="C135">
        <v>1</v>
      </c>
      <c r="E135" t="s">
        <v>784</v>
      </c>
      <c r="F135" s="12" t="str">
        <f t="shared" si="6"/>
        <v>'B01'</v>
      </c>
      <c r="G135" s="12" t="str">
        <f t="shared" si="7"/>
        <v>'Ricamp'</v>
      </c>
      <c r="H135" t="s">
        <v>785</v>
      </c>
      <c r="I135" t="s">
        <v>654</v>
      </c>
      <c r="J135" t="str">
        <f t="shared" si="8"/>
        <v>('B01','Ricamp',1),</v>
      </c>
    </row>
    <row r="136" spans="1:10" x14ac:dyDescent="0.25">
      <c r="C136">
        <v>1</v>
      </c>
      <c r="E136" t="s">
        <v>784</v>
      </c>
      <c r="F136" s="12" t="str">
        <f t="shared" si="6"/>
        <v>''</v>
      </c>
      <c r="G136" s="12" t="str">
        <f t="shared" si="7"/>
        <v>''</v>
      </c>
      <c r="H136" t="s">
        <v>785</v>
      </c>
      <c r="I136" t="s">
        <v>654</v>
      </c>
      <c r="J136" t="str">
        <f t="shared" si="8"/>
        <v>('','',1),</v>
      </c>
    </row>
    <row r="137" spans="1:10" x14ac:dyDescent="0.25">
      <c r="A137" t="s">
        <v>707</v>
      </c>
      <c r="B137" t="s">
        <v>708</v>
      </c>
      <c r="C137">
        <v>1</v>
      </c>
      <c r="E137" t="s">
        <v>784</v>
      </c>
      <c r="F137" s="12" t="str">
        <f t="shared" si="6"/>
        <v>'B01'</v>
      </c>
      <c r="G137" s="12" t="str">
        <f t="shared" si="7"/>
        <v>'Ricamp'</v>
      </c>
      <c r="H137" t="s">
        <v>785</v>
      </c>
      <c r="I137" t="s">
        <v>654</v>
      </c>
      <c r="J137" t="str">
        <f t="shared" si="8"/>
        <v>('B01','Ricamp',1),</v>
      </c>
    </row>
    <row r="138" spans="1:10" x14ac:dyDescent="0.25">
      <c r="A138" t="s">
        <v>756</v>
      </c>
      <c r="B138" t="s">
        <v>712</v>
      </c>
      <c r="C138">
        <v>1</v>
      </c>
      <c r="E138" t="s">
        <v>784</v>
      </c>
      <c r="F138" s="12" t="str">
        <f t="shared" si="6"/>
        <v>'B24'</v>
      </c>
      <c r="G138" s="12" t="str">
        <f t="shared" si="7"/>
        <v>'Ochoa'</v>
      </c>
      <c r="H138" t="s">
        <v>785</v>
      </c>
      <c r="I138" t="s">
        <v>654</v>
      </c>
      <c r="J138" t="str">
        <f t="shared" si="8"/>
        <v>('B24','Ochoa',1),</v>
      </c>
    </row>
    <row r="139" spans="1:10" x14ac:dyDescent="0.25">
      <c r="A139" t="s">
        <v>704</v>
      </c>
      <c r="B139" t="s">
        <v>833</v>
      </c>
      <c r="C139">
        <v>1</v>
      </c>
      <c r="E139" t="s">
        <v>784</v>
      </c>
      <c r="F139" s="12" t="str">
        <f t="shared" si="6"/>
        <v>'B07'</v>
      </c>
      <c r="G139" s="12" t="str">
        <f t="shared" si="7"/>
        <v>'Erik Viveros'</v>
      </c>
      <c r="H139" t="s">
        <v>785</v>
      </c>
      <c r="I139" t="s">
        <v>654</v>
      </c>
      <c r="J139" t="str">
        <f t="shared" si="8"/>
        <v>('B07','Erik Viveros',1),</v>
      </c>
    </row>
    <row r="140" spans="1:10" x14ac:dyDescent="0.25">
      <c r="A140" t="s">
        <v>711</v>
      </c>
      <c r="B140" t="s">
        <v>712</v>
      </c>
      <c r="C140">
        <v>1</v>
      </c>
      <c r="E140" t="s">
        <v>784</v>
      </c>
      <c r="F140" s="12" t="str">
        <f t="shared" si="6"/>
        <v>'B02'</v>
      </c>
      <c r="G140" s="12" t="str">
        <f t="shared" si="7"/>
        <v>'Ochoa'</v>
      </c>
      <c r="H140" t="s">
        <v>785</v>
      </c>
      <c r="I140" t="s">
        <v>654</v>
      </c>
      <c r="J140" t="str">
        <f t="shared" si="8"/>
        <v>('B02','Ochoa',1),</v>
      </c>
    </row>
    <row r="141" spans="1:10" x14ac:dyDescent="0.25">
      <c r="A141" t="s">
        <v>711</v>
      </c>
      <c r="B141" t="s">
        <v>712</v>
      </c>
      <c r="C141">
        <v>1</v>
      </c>
      <c r="E141" t="s">
        <v>784</v>
      </c>
      <c r="F141" s="12" t="str">
        <f t="shared" si="6"/>
        <v>'B02'</v>
      </c>
      <c r="G141" s="12" t="str">
        <f t="shared" si="7"/>
        <v>'Ochoa'</v>
      </c>
      <c r="H141" t="s">
        <v>785</v>
      </c>
      <c r="I141" t="s">
        <v>654</v>
      </c>
      <c r="J141" t="str">
        <f t="shared" si="8"/>
        <v>('B02','Ochoa',1),</v>
      </c>
    </row>
    <row r="142" spans="1:10" x14ac:dyDescent="0.25">
      <c r="A142" t="s">
        <v>717</v>
      </c>
      <c r="B142" t="s">
        <v>718</v>
      </c>
      <c r="C142">
        <v>1</v>
      </c>
      <c r="E142" t="s">
        <v>784</v>
      </c>
      <c r="F142" s="12" t="str">
        <f t="shared" si="6"/>
        <v>'B20'</v>
      </c>
      <c r="G142" s="12" t="str">
        <f t="shared" si="7"/>
        <v>'Jorge Garcia'</v>
      </c>
      <c r="H142" t="s">
        <v>785</v>
      </c>
      <c r="I142" t="s">
        <v>654</v>
      </c>
      <c r="J142" t="str">
        <f t="shared" si="8"/>
        <v>('B20','Jorge Garcia',1),</v>
      </c>
    </row>
    <row r="143" spans="1:10" x14ac:dyDescent="0.25">
      <c r="A143" t="s">
        <v>711</v>
      </c>
      <c r="B143" t="s">
        <v>712</v>
      </c>
      <c r="C143">
        <v>1</v>
      </c>
      <c r="E143" t="s">
        <v>784</v>
      </c>
      <c r="F143" s="12" t="str">
        <f t="shared" si="6"/>
        <v>'B02'</v>
      </c>
      <c r="G143" s="12" t="str">
        <f t="shared" si="7"/>
        <v>'Ochoa'</v>
      </c>
      <c r="H143" t="s">
        <v>785</v>
      </c>
      <c r="I143" t="s">
        <v>654</v>
      </c>
      <c r="J143" t="str">
        <f t="shared" si="8"/>
        <v>('B02','Ochoa',1),</v>
      </c>
    </row>
    <row r="144" spans="1:10" x14ac:dyDescent="0.25">
      <c r="A144" t="s">
        <v>711</v>
      </c>
      <c r="B144" t="s">
        <v>712</v>
      </c>
      <c r="C144">
        <v>1</v>
      </c>
      <c r="E144" t="s">
        <v>784</v>
      </c>
      <c r="F144" s="12" t="str">
        <f t="shared" si="6"/>
        <v>'B02'</v>
      </c>
      <c r="G144" s="12" t="str">
        <f t="shared" si="7"/>
        <v>'Ochoa'</v>
      </c>
      <c r="H144" t="s">
        <v>785</v>
      </c>
      <c r="I144" t="s">
        <v>654</v>
      </c>
      <c r="J144" t="str">
        <f t="shared" si="8"/>
        <v>('B02','Ochoa',1),</v>
      </c>
    </row>
    <row r="145" spans="1:10" x14ac:dyDescent="0.25">
      <c r="A145" t="s">
        <v>711</v>
      </c>
      <c r="B145" t="s">
        <v>712</v>
      </c>
      <c r="C145">
        <v>1</v>
      </c>
      <c r="E145" t="s">
        <v>784</v>
      </c>
      <c r="F145" s="12" t="str">
        <f t="shared" si="6"/>
        <v>'B02'</v>
      </c>
      <c r="G145" s="12" t="str">
        <f t="shared" si="7"/>
        <v>'Ochoa'</v>
      </c>
      <c r="H145" t="s">
        <v>785</v>
      </c>
      <c r="I145" t="s">
        <v>654</v>
      </c>
      <c r="J145" t="str">
        <f t="shared" si="8"/>
        <v>('B02','Ochoa',1),</v>
      </c>
    </row>
    <row r="146" spans="1:10" x14ac:dyDescent="0.25">
      <c r="A146" t="s">
        <v>747</v>
      </c>
      <c r="B146" t="s">
        <v>748</v>
      </c>
      <c r="C146">
        <v>1</v>
      </c>
      <c r="E146" t="s">
        <v>784</v>
      </c>
      <c r="F146" s="12" t="str">
        <f t="shared" si="6"/>
        <v>'B21'</v>
      </c>
      <c r="G146" s="12" t="str">
        <f t="shared" si="7"/>
        <v>'Aldo Rincon'</v>
      </c>
      <c r="H146" t="s">
        <v>785</v>
      </c>
      <c r="I146" t="s">
        <v>654</v>
      </c>
      <c r="J146" t="str">
        <f t="shared" si="8"/>
        <v>('B21','Aldo Rincon',1),</v>
      </c>
    </row>
    <row r="147" spans="1:10" x14ac:dyDescent="0.25">
      <c r="A147" t="s">
        <v>711</v>
      </c>
      <c r="B147" t="s">
        <v>712</v>
      </c>
      <c r="C147">
        <v>1</v>
      </c>
      <c r="E147" t="s">
        <v>784</v>
      </c>
      <c r="F147" s="12" t="str">
        <f t="shared" si="6"/>
        <v>'B02'</v>
      </c>
      <c r="G147" s="12" t="str">
        <f t="shared" si="7"/>
        <v>'Ochoa'</v>
      </c>
      <c r="H147" t="s">
        <v>785</v>
      </c>
      <c r="I147" t="s">
        <v>654</v>
      </c>
      <c r="J147" t="str">
        <f t="shared" si="8"/>
        <v>('B02','Ochoa',1),</v>
      </c>
    </row>
    <row r="148" spans="1:10" x14ac:dyDescent="0.25">
      <c r="A148" t="s">
        <v>711</v>
      </c>
      <c r="B148" t="s">
        <v>712</v>
      </c>
      <c r="C148">
        <v>1</v>
      </c>
      <c r="E148" t="s">
        <v>784</v>
      </c>
      <c r="F148" s="12" t="str">
        <f t="shared" si="6"/>
        <v>'B02'</v>
      </c>
      <c r="G148" s="12" t="str">
        <f t="shared" si="7"/>
        <v>'Ochoa'</v>
      </c>
      <c r="H148" t="s">
        <v>785</v>
      </c>
      <c r="I148" t="s">
        <v>654</v>
      </c>
      <c r="J148" t="str">
        <f t="shared" si="8"/>
        <v>('B02','Ochoa',1),</v>
      </c>
    </row>
    <row r="149" spans="1:10" x14ac:dyDescent="0.25">
      <c r="A149" t="s">
        <v>711</v>
      </c>
      <c r="B149" t="s">
        <v>712</v>
      </c>
      <c r="C149">
        <v>1</v>
      </c>
      <c r="E149" t="s">
        <v>784</v>
      </c>
      <c r="F149" s="12" t="str">
        <f t="shared" si="6"/>
        <v>'B02'</v>
      </c>
      <c r="G149" s="12" t="str">
        <f t="shared" si="7"/>
        <v>'Ochoa'</v>
      </c>
      <c r="H149" t="s">
        <v>785</v>
      </c>
      <c r="I149" t="s">
        <v>654</v>
      </c>
      <c r="J149" t="str">
        <f t="shared" si="8"/>
        <v>('B02','Ochoa',1),</v>
      </c>
    </row>
    <row r="150" spans="1:10" x14ac:dyDescent="0.25">
      <c r="C150">
        <v>1</v>
      </c>
      <c r="E150" t="s">
        <v>784</v>
      </c>
      <c r="F150" s="12" t="str">
        <f t="shared" si="6"/>
        <v>''</v>
      </c>
      <c r="G150" s="12" t="str">
        <f t="shared" si="7"/>
        <v>''</v>
      </c>
      <c r="H150" t="s">
        <v>785</v>
      </c>
      <c r="I150" t="s">
        <v>654</v>
      </c>
      <c r="J150" t="str">
        <f t="shared" si="8"/>
        <v>('','',1),</v>
      </c>
    </row>
    <row r="151" spans="1:10" x14ac:dyDescent="0.25">
      <c r="C151">
        <v>1</v>
      </c>
      <c r="E151" t="s">
        <v>784</v>
      </c>
      <c r="F151" s="12" t="str">
        <f t="shared" si="6"/>
        <v>''</v>
      </c>
      <c r="G151" s="12" t="str">
        <f t="shared" si="7"/>
        <v>''</v>
      </c>
      <c r="H151" t="s">
        <v>785</v>
      </c>
      <c r="I151" t="s">
        <v>654</v>
      </c>
      <c r="J151" t="str">
        <f t="shared" si="8"/>
        <v>('','',1),</v>
      </c>
    </row>
    <row r="152" spans="1:10" x14ac:dyDescent="0.25">
      <c r="A152" t="s">
        <v>715</v>
      </c>
      <c r="B152" t="s">
        <v>716</v>
      </c>
      <c r="C152">
        <v>1</v>
      </c>
      <c r="E152" t="s">
        <v>784</v>
      </c>
      <c r="F152" s="12" t="str">
        <f t="shared" si="6"/>
        <v>'B03'</v>
      </c>
      <c r="G152" s="12" t="str">
        <f t="shared" si="7"/>
        <v>'Larifrut'</v>
      </c>
      <c r="H152" t="s">
        <v>785</v>
      </c>
      <c r="I152" t="s">
        <v>654</v>
      </c>
      <c r="J152" t="str">
        <f t="shared" si="8"/>
        <v>('B03','Larifrut',1),</v>
      </c>
    </row>
    <row r="153" spans="1:10" x14ac:dyDescent="0.25">
      <c r="A153" t="s">
        <v>707</v>
      </c>
      <c r="B153" t="s">
        <v>708</v>
      </c>
      <c r="C153">
        <v>1</v>
      </c>
      <c r="E153" t="s">
        <v>784</v>
      </c>
      <c r="F153" s="12" t="str">
        <f t="shared" si="6"/>
        <v>'B01'</v>
      </c>
      <c r="G153" s="12" t="str">
        <f t="shared" si="7"/>
        <v>'Ricamp'</v>
      </c>
      <c r="H153" t="s">
        <v>785</v>
      </c>
      <c r="I153" t="s">
        <v>654</v>
      </c>
      <c r="J153" t="str">
        <f t="shared" si="8"/>
        <v>('B01','Ricamp',1),</v>
      </c>
    </row>
    <row r="154" spans="1:10" x14ac:dyDescent="0.25">
      <c r="A154" t="s">
        <v>717</v>
      </c>
      <c r="B154" t="s">
        <v>718</v>
      </c>
      <c r="C154">
        <v>1</v>
      </c>
      <c r="E154" t="s">
        <v>784</v>
      </c>
      <c r="F154" s="12" t="str">
        <f t="shared" si="6"/>
        <v>'B20'</v>
      </c>
      <c r="G154" s="12" t="str">
        <f t="shared" si="7"/>
        <v>'Jorge Garcia'</v>
      </c>
      <c r="H154" t="s">
        <v>785</v>
      </c>
      <c r="I154" t="s">
        <v>654</v>
      </c>
      <c r="J154" t="str">
        <f t="shared" si="8"/>
        <v>('B20','Jorge Garcia',1),</v>
      </c>
    </row>
    <row r="155" spans="1:10" x14ac:dyDescent="0.25">
      <c r="C155">
        <v>1</v>
      </c>
      <c r="E155" t="s">
        <v>784</v>
      </c>
      <c r="F155" s="12" t="str">
        <f t="shared" si="6"/>
        <v>''</v>
      </c>
      <c r="G155" s="12" t="str">
        <f t="shared" si="7"/>
        <v>''</v>
      </c>
      <c r="H155" t="s">
        <v>785</v>
      </c>
      <c r="I155" t="s">
        <v>654</v>
      </c>
      <c r="J155" t="str">
        <f t="shared" si="8"/>
        <v>('','',1),</v>
      </c>
    </row>
    <row r="156" spans="1:10" x14ac:dyDescent="0.25">
      <c r="A156" t="s">
        <v>715</v>
      </c>
      <c r="B156" t="s">
        <v>716</v>
      </c>
      <c r="C156">
        <v>1</v>
      </c>
      <c r="E156" t="s">
        <v>784</v>
      </c>
      <c r="F156" s="12" t="str">
        <f t="shared" si="6"/>
        <v>'B03'</v>
      </c>
      <c r="G156" s="12" t="str">
        <f t="shared" si="7"/>
        <v>'Larifrut'</v>
      </c>
      <c r="H156" t="s">
        <v>785</v>
      </c>
      <c r="I156" t="s">
        <v>654</v>
      </c>
      <c r="J156" t="str">
        <f t="shared" si="8"/>
        <v>('B03','Larifrut',1),</v>
      </c>
    </row>
    <row r="157" spans="1:10" x14ac:dyDescent="0.25">
      <c r="A157" t="s">
        <v>715</v>
      </c>
      <c r="B157" t="s">
        <v>716</v>
      </c>
      <c r="C157">
        <v>1</v>
      </c>
      <c r="E157" t="s">
        <v>784</v>
      </c>
      <c r="F157" s="12" t="str">
        <f t="shared" si="6"/>
        <v>'B03'</v>
      </c>
      <c r="G157" s="12" t="str">
        <f t="shared" si="7"/>
        <v>'Larifrut'</v>
      </c>
      <c r="H157" t="s">
        <v>785</v>
      </c>
      <c r="I157" t="s">
        <v>654</v>
      </c>
      <c r="J157" t="str">
        <f t="shared" si="8"/>
        <v>('B03','Larifrut',1),</v>
      </c>
    </row>
    <row r="158" spans="1:10" x14ac:dyDescent="0.25">
      <c r="A158" t="s">
        <v>715</v>
      </c>
      <c r="B158" t="s">
        <v>716</v>
      </c>
      <c r="C158">
        <v>1</v>
      </c>
      <c r="E158" t="s">
        <v>784</v>
      </c>
      <c r="F158" s="12" t="str">
        <f t="shared" si="6"/>
        <v>'B03'</v>
      </c>
      <c r="G158" s="12" t="str">
        <f t="shared" si="7"/>
        <v>'Larifrut'</v>
      </c>
      <c r="H158" t="s">
        <v>785</v>
      </c>
      <c r="I158" t="s">
        <v>654</v>
      </c>
      <c r="J158" t="str">
        <f t="shared" si="8"/>
        <v>('B03','Larifrut',1),</v>
      </c>
    </row>
    <row r="159" spans="1:10" x14ac:dyDescent="0.25">
      <c r="A159" t="s">
        <v>715</v>
      </c>
      <c r="B159" t="s">
        <v>716</v>
      </c>
      <c r="C159">
        <v>1</v>
      </c>
      <c r="E159" t="s">
        <v>784</v>
      </c>
      <c r="F159" s="12" t="str">
        <f t="shared" si="6"/>
        <v>'B03'</v>
      </c>
      <c r="G159" s="12" t="str">
        <f t="shared" si="7"/>
        <v>'Larifrut'</v>
      </c>
      <c r="H159" t="s">
        <v>785</v>
      </c>
      <c r="I159" t="s">
        <v>654</v>
      </c>
      <c r="J159" t="str">
        <f t="shared" si="8"/>
        <v>('B03','Larifrut',1),</v>
      </c>
    </row>
    <row r="160" spans="1:10" x14ac:dyDescent="0.25">
      <c r="A160" t="s">
        <v>715</v>
      </c>
      <c r="B160" t="s">
        <v>716</v>
      </c>
      <c r="C160">
        <v>1</v>
      </c>
      <c r="E160" t="s">
        <v>784</v>
      </c>
      <c r="F160" s="12" t="str">
        <f t="shared" si="6"/>
        <v>'B03'</v>
      </c>
      <c r="G160" s="12" t="str">
        <f t="shared" si="7"/>
        <v>'Larifrut'</v>
      </c>
      <c r="H160" t="s">
        <v>785</v>
      </c>
      <c r="I160" t="s">
        <v>654</v>
      </c>
      <c r="J160" t="str">
        <f t="shared" si="8"/>
        <v>('B03','Larifrut',1),</v>
      </c>
    </row>
    <row r="161" spans="1:10" x14ac:dyDescent="0.25">
      <c r="A161" t="s">
        <v>715</v>
      </c>
      <c r="B161" t="s">
        <v>716</v>
      </c>
      <c r="C161">
        <v>1</v>
      </c>
      <c r="E161" t="s">
        <v>784</v>
      </c>
      <c r="F161" s="12" t="str">
        <f t="shared" si="6"/>
        <v>'B03'</v>
      </c>
      <c r="G161" s="12" t="str">
        <f t="shared" si="7"/>
        <v>'Larifrut'</v>
      </c>
      <c r="H161" t="s">
        <v>785</v>
      </c>
      <c r="I161" t="s">
        <v>654</v>
      </c>
      <c r="J161" t="str">
        <f t="shared" si="8"/>
        <v>('B03','Larifrut',1),</v>
      </c>
    </row>
    <row r="162" spans="1:10" x14ac:dyDescent="0.25">
      <c r="A162" t="s">
        <v>709</v>
      </c>
      <c r="B162" t="s">
        <v>710</v>
      </c>
      <c r="C162">
        <v>1</v>
      </c>
      <c r="E162" t="s">
        <v>784</v>
      </c>
      <c r="F162" s="12" t="str">
        <f t="shared" si="6"/>
        <v>'B05'</v>
      </c>
      <c r="G162" s="12" t="str">
        <f t="shared" si="7"/>
        <v>'Maria Elena'</v>
      </c>
      <c r="H162" t="s">
        <v>785</v>
      </c>
      <c r="I162" t="s">
        <v>654</v>
      </c>
      <c r="J162" t="str">
        <f t="shared" si="8"/>
        <v>('B05','Maria Elena',1),</v>
      </c>
    </row>
    <row r="163" spans="1:10" x14ac:dyDescent="0.25">
      <c r="A163" t="s">
        <v>715</v>
      </c>
      <c r="B163" t="s">
        <v>716</v>
      </c>
      <c r="C163">
        <v>1</v>
      </c>
      <c r="E163" t="s">
        <v>784</v>
      </c>
      <c r="F163" s="12" t="str">
        <f t="shared" si="6"/>
        <v>'B03'</v>
      </c>
      <c r="G163" s="12" t="str">
        <f t="shared" si="7"/>
        <v>'Larifrut'</v>
      </c>
      <c r="H163" t="s">
        <v>785</v>
      </c>
      <c r="I163" t="s">
        <v>654</v>
      </c>
      <c r="J163" t="str">
        <f t="shared" si="8"/>
        <v>('B03','Larifrut',1),</v>
      </c>
    </row>
    <row r="164" spans="1:10" x14ac:dyDescent="0.25">
      <c r="A164" t="s">
        <v>715</v>
      </c>
      <c r="B164" t="s">
        <v>716</v>
      </c>
      <c r="C164">
        <v>1</v>
      </c>
      <c r="E164" t="s">
        <v>784</v>
      </c>
      <c r="F164" s="12" t="str">
        <f t="shared" si="6"/>
        <v>'B03'</v>
      </c>
      <c r="G164" s="12" t="str">
        <f t="shared" si="7"/>
        <v>'Larifrut'</v>
      </c>
      <c r="H164" t="s">
        <v>785</v>
      </c>
      <c r="I164" t="s">
        <v>654</v>
      </c>
      <c r="J164" t="str">
        <f t="shared" si="8"/>
        <v>('B03','Larifrut',1),</v>
      </c>
    </row>
    <row r="165" spans="1:10" x14ac:dyDescent="0.25">
      <c r="A165" t="s">
        <v>715</v>
      </c>
      <c r="B165" t="s">
        <v>716</v>
      </c>
      <c r="C165">
        <v>1</v>
      </c>
      <c r="E165" t="s">
        <v>784</v>
      </c>
      <c r="F165" s="12" t="str">
        <f t="shared" si="6"/>
        <v>'B03'</v>
      </c>
      <c r="G165" s="12" t="str">
        <f t="shared" si="7"/>
        <v>'Larifrut'</v>
      </c>
      <c r="H165" t="s">
        <v>785</v>
      </c>
      <c r="I165" t="s">
        <v>654</v>
      </c>
      <c r="J165" t="str">
        <f t="shared" si="8"/>
        <v>('B03','Larifrut',1),</v>
      </c>
    </row>
    <row r="166" spans="1:10" x14ac:dyDescent="0.25">
      <c r="A166" t="s">
        <v>715</v>
      </c>
      <c r="B166" t="s">
        <v>716</v>
      </c>
      <c r="C166">
        <v>1</v>
      </c>
      <c r="E166" t="s">
        <v>784</v>
      </c>
      <c r="F166" s="12" t="str">
        <f t="shared" si="6"/>
        <v>'B03'</v>
      </c>
      <c r="G166" s="12" t="str">
        <f t="shared" si="7"/>
        <v>'Larifrut'</v>
      </c>
      <c r="H166" t="s">
        <v>785</v>
      </c>
      <c r="I166" t="s">
        <v>654</v>
      </c>
      <c r="J166" t="str">
        <f t="shared" si="8"/>
        <v>('B03','Larifrut',1),</v>
      </c>
    </row>
    <row r="167" spans="1:10" x14ac:dyDescent="0.25">
      <c r="C167">
        <v>1</v>
      </c>
      <c r="E167" t="s">
        <v>784</v>
      </c>
      <c r="F167" s="12" t="str">
        <f t="shared" si="6"/>
        <v>''</v>
      </c>
      <c r="G167" s="12" t="str">
        <f t="shared" si="7"/>
        <v>''</v>
      </c>
      <c r="H167" t="s">
        <v>785</v>
      </c>
      <c r="I167" t="s">
        <v>654</v>
      </c>
      <c r="J167" t="str">
        <f t="shared" si="8"/>
        <v>('','',1),</v>
      </c>
    </row>
    <row r="168" spans="1:10" x14ac:dyDescent="0.25">
      <c r="C168">
        <v>1</v>
      </c>
      <c r="E168" t="s">
        <v>784</v>
      </c>
      <c r="F168" s="12" t="str">
        <f t="shared" si="6"/>
        <v>''</v>
      </c>
      <c r="G168" s="12" t="str">
        <f t="shared" si="7"/>
        <v>''</v>
      </c>
      <c r="H168" t="s">
        <v>785</v>
      </c>
      <c r="I168" t="s">
        <v>654</v>
      </c>
      <c r="J168" t="str">
        <f t="shared" si="8"/>
        <v>('','',1),</v>
      </c>
    </row>
    <row r="169" spans="1:10" x14ac:dyDescent="0.25">
      <c r="C169">
        <v>1</v>
      </c>
      <c r="E169" t="s">
        <v>784</v>
      </c>
      <c r="F169" s="12" t="str">
        <f t="shared" si="6"/>
        <v>''</v>
      </c>
      <c r="G169" s="12" t="str">
        <f t="shared" si="7"/>
        <v>''</v>
      </c>
      <c r="H169" t="s">
        <v>785</v>
      </c>
      <c r="I169" t="s">
        <v>654</v>
      </c>
      <c r="J169" t="str">
        <f t="shared" si="8"/>
        <v>('','',1),</v>
      </c>
    </row>
    <row r="170" spans="1:10" x14ac:dyDescent="0.25">
      <c r="A170" t="s">
        <v>707</v>
      </c>
      <c r="B170" t="s">
        <v>708</v>
      </c>
      <c r="C170">
        <v>1</v>
      </c>
      <c r="E170" t="s">
        <v>784</v>
      </c>
      <c r="F170" s="12" t="str">
        <f t="shared" si="6"/>
        <v>'B01'</v>
      </c>
      <c r="G170" s="12" t="str">
        <f t="shared" si="7"/>
        <v>'Ricamp'</v>
      </c>
      <c r="H170" t="s">
        <v>785</v>
      </c>
      <c r="I170" t="s">
        <v>654</v>
      </c>
      <c r="J170" t="str">
        <f t="shared" si="8"/>
        <v>('B01','Ricamp',1),</v>
      </c>
    </row>
    <row r="171" spans="1:10" x14ac:dyDescent="0.25">
      <c r="A171" t="s">
        <v>709</v>
      </c>
      <c r="B171" t="s">
        <v>710</v>
      </c>
      <c r="C171">
        <v>1</v>
      </c>
      <c r="E171" t="s">
        <v>784</v>
      </c>
      <c r="F171" s="12" t="str">
        <f t="shared" si="6"/>
        <v>'B05'</v>
      </c>
      <c r="G171" s="12" t="str">
        <f t="shared" si="7"/>
        <v>'Maria Elena'</v>
      </c>
      <c r="H171" t="s">
        <v>785</v>
      </c>
      <c r="I171" t="s">
        <v>654</v>
      </c>
      <c r="J171" t="str">
        <f t="shared" si="8"/>
        <v>('B05','Maria Elena',1),</v>
      </c>
    </row>
    <row r="172" spans="1:10" x14ac:dyDescent="0.25">
      <c r="A172" t="s">
        <v>715</v>
      </c>
      <c r="B172" t="s">
        <v>716</v>
      </c>
      <c r="C172">
        <v>1</v>
      </c>
      <c r="E172" t="s">
        <v>784</v>
      </c>
      <c r="F172" s="12" t="str">
        <f t="shared" si="6"/>
        <v>'B03'</v>
      </c>
      <c r="G172" s="12" t="str">
        <f t="shared" si="7"/>
        <v>'Larifrut'</v>
      </c>
      <c r="H172" t="s">
        <v>785</v>
      </c>
      <c r="I172" t="s">
        <v>654</v>
      </c>
      <c r="J172" t="str">
        <f t="shared" si="8"/>
        <v>('B03','Larifrut',1),</v>
      </c>
    </row>
    <row r="173" spans="1:10" x14ac:dyDescent="0.25">
      <c r="C173">
        <v>1</v>
      </c>
      <c r="E173" t="s">
        <v>784</v>
      </c>
      <c r="F173" s="12" t="str">
        <f t="shared" si="6"/>
        <v>''</v>
      </c>
      <c r="G173" s="12" t="str">
        <f t="shared" si="7"/>
        <v>''</v>
      </c>
      <c r="H173" t="s">
        <v>785</v>
      </c>
      <c r="I173" t="s">
        <v>654</v>
      </c>
      <c r="J173" t="str">
        <f t="shared" si="8"/>
        <v>('','',1),</v>
      </c>
    </row>
    <row r="174" spans="1:10" x14ac:dyDescent="0.25">
      <c r="C174">
        <v>1</v>
      </c>
      <c r="E174" t="s">
        <v>784</v>
      </c>
      <c r="F174" s="12" t="str">
        <f t="shared" si="6"/>
        <v>''</v>
      </c>
      <c r="G174" s="12" t="str">
        <f t="shared" si="7"/>
        <v>''</v>
      </c>
      <c r="H174" t="s">
        <v>785</v>
      </c>
      <c r="I174" t="s">
        <v>654</v>
      </c>
      <c r="J174" t="str">
        <f t="shared" si="8"/>
        <v>('','',1),</v>
      </c>
    </row>
    <row r="175" spans="1:10" x14ac:dyDescent="0.25">
      <c r="A175" t="s">
        <v>741</v>
      </c>
      <c r="B175" t="s">
        <v>742</v>
      </c>
      <c r="C175">
        <v>1</v>
      </c>
      <c r="E175" t="s">
        <v>784</v>
      </c>
      <c r="F175" s="12" t="str">
        <f t="shared" si="6"/>
        <v>'B04'</v>
      </c>
      <c r="G175" s="12" t="str">
        <f t="shared" si="7"/>
        <v>'Banamac'</v>
      </c>
      <c r="H175" t="s">
        <v>785</v>
      </c>
      <c r="I175" t="s">
        <v>654</v>
      </c>
      <c r="J175" t="str">
        <f t="shared" si="8"/>
        <v>('B04','Banamac',1),</v>
      </c>
    </row>
    <row r="176" spans="1:10" x14ac:dyDescent="0.25">
      <c r="A176" t="s">
        <v>704</v>
      </c>
      <c r="B176" t="s">
        <v>833</v>
      </c>
      <c r="C176">
        <v>1</v>
      </c>
      <c r="E176" t="s">
        <v>784</v>
      </c>
      <c r="F176" s="12" t="str">
        <f t="shared" si="6"/>
        <v>'B07'</v>
      </c>
      <c r="G176" s="12" t="str">
        <f t="shared" si="7"/>
        <v>'Erik Viveros'</v>
      </c>
      <c r="H176" t="s">
        <v>785</v>
      </c>
      <c r="I176" t="s">
        <v>654</v>
      </c>
      <c r="J176" t="str">
        <f t="shared" si="8"/>
        <v>('B07','Erik Viveros',1),</v>
      </c>
    </row>
    <row r="177" spans="1:10" x14ac:dyDescent="0.25">
      <c r="A177" t="s">
        <v>711</v>
      </c>
      <c r="B177" t="s">
        <v>712</v>
      </c>
      <c r="C177">
        <v>1</v>
      </c>
      <c r="E177" t="s">
        <v>784</v>
      </c>
      <c r="F177" s="12" t="str">
        <f t="shared" si="6"/>
        <v>'B02'</v>
      </c>
      <c r="G177" s="12" t="str">
        <f t="shared" si="7"/>
        <v>'Ochoa'</v>
      </c>
      <c r="H177" t="s">
        <v>785</v>
      </c>
      <c r="I177" t="s">
        <v>654</v>
      </c>
      <c r="J177" t="str">
        <f t="shared" si="8"/>
        <v>('B02','Ochoa',1),</v>
      </c>
    </row>
    <row r="178" spans="1:10" x14ac:dyDescent="0.25">
      <c r="A178" t="s">
        <v>707</v>
      </c>
      <c r="B178" t="s">
        <v>708</v>
      </c>
      <c r="C178">
        <v>1</v>
      </c>
      <c r="E178" t="s">
        <v>784</v>
      </c>
      <c r="F178" s="12" t="str">
        <f t="shared" si="6"/>
        <v>'B01'</v>
      </c>
      <c r="G178" s="12" t="str">
        <f t="shared" si="7"/>
        <v>'Ricamp'</v>
      </c>
      <c r="H178" t="s">
        <v>785</v>
      </c>
      <c r="I178" t="s">
        <v>654</v>
      </c>
      <c r="J178" t="str">
        <f t="shared" si="8"/>
        <v>('B01','Ricamp',1),</v>
      </c>
    </row>
    <row r="179" spans="1:10" x14ac:dyDescent="0.25">
      <c r="A179" t="s">
        <v>707</v>
      </c>
      <c r="B179" t="s">
        <v>708</v>
      </c>
      <c r="C179">
        <v>1</v>
      </c>
      <c r="E179" t="s">
        <v>784</v>
      </c>
      <c r="F179" s="12" t="str">
        <f t="shared" si="6"/>
        <v>'B01'</v>
      </c>
      <c r="G179" s="12" t="str">
        <f t="shared" si="7"/>
        <v>'Ricamp'</v>
      </c>
      <c r="H179" t="s">
        <v>785</v>
      </c>
      <c r="I179" t="s">
        <v>654</v>
      </c>
      <c r="J179" t="str">
        <f t="shared" si="8"/>
        <v>('B01','Ricamp',1),</v>
      </c>
    </row>
    <row r="180" spans="1:10" x14ac:dyDescent="0.25">
      <c r="A180" t="s">
        <v>741</v>
      </c>
      <c r="B180" t="s">
        <v>742</v>
      </c>
      <c r="C180">
        <v>1</v>
      </c>
      <c r="E180" t="s">
        <v>784</v>
      </c>
      <c r="F180" s="12" t="str">
        <f t="shared" si="6"/>
        <v>'B04'</v>
      </c>
      <c r="G180" s="12" t="str">
        <f t="shared" si="7"/>
        <v>'Banamac'</v>
      </c>
      <c r="H180" t="s">
        <v>785</v>
      </c>
      <c r="I180" t="s">
        <v>654</v>
      </c>
      <c r="J180" t="str">
        <f t="shared" si="8"/>
        <v>('B04','Banamac',1),</v>
      </c>
    </row>
    <row r="181" spans="1:10" x14ac:dyDescent="0.25">
      <c r="A181" t="s">
        <v>741</v>
      </c>
      <c r="B181" t="s">
        <v>742</v>
      </c>
      <c r="C181">
        <v>1</v>
      </c>
      <c r="E181" t="s">
        <v>784</v>
      </c>
      <c r="F181" s="12" t="str">
        <f t="shared" si="6"/>
        <v>'B04'</v>
      </c>
      <c r="G181" s="12" t="str">
        <f t="shared" si="7"/>
        <v>'Banamac'</v>
      </c>
      <c r="H181" t="s">
        <v>785</v>
      </c>
      <c r="I181" t="s">
        <v>654</v>
      </c>
      <c r="J181" t="str">
        <f t="shared" si="8"/>
        <v>('B04','Banamac',1),</v>
      </c>
    </row>
    <row r="182" spans="1:10" x14ac:dyDescent="0.25">
      <c r="A182" t="s">
        <v>741</v>
      </c>
      <c r="B182" t="s">
        <v>742</v>
      </c>
      <c r="C182">
        <v>1</v>
      </c>
      <c r="E182" t="s">
        <v>784</v>
      </c>
      <c r="F182" s="12" t="str">
        <f t="shared" si="6"/>
        <v>'B04'</v>
      </c>
      <c r="G182" s="12" t="str">
        <f t="shared" si="7"/>
        <v>'Banamac'</v>
      </c>
      <c r="H182" t="s">
        <v>785</v>
      </c>
      <c r="I182" t="s">
        <v>654</v>
      </c>
      <c r="J182" t="str">
        <f t="shared" si="8"/>
        <v>('B04','Banamac',1),</v>
      </c>
    </row>
    <row r="183" spans="1:10" x14ac:dyDescent="0.25">
      <c r="A183" t="s">
        <v>715</v>
      </c>
      <c r="B183" t="s">
        <v>716</v>
      </c>
      <c r="C183">
        <v>1</v>
      </c>
      <c r="E183" t="s">
        <v>784</v>
      </c>
      <c r="F183" s="12" t="str">
        <f t="shared" si="6"/>
        <v>'B03'</v>
      </c>
      <c r="G183" s="12" t="str">
        <f t="shared" si="7"/>
        <v>'Larifrut'</v>
      </c>
      <c r="H183" t="s">
        <v>785</v>
      </c>
      <c r="I183" t="s">
        <v>654</v>
      </c>
      <c r="J183" t="str">
        <f t="shared" si="8"/>
        <v>('B03','Larifrut',1),</v>
      </c>
    </row>
    <row r="184" spans="1:10" x14ac:dyDescent="0.25">
      <c r="A184" t="s">
        <v>707</v>
      </c>
      <c r="B184" t="s">
        <v>708</v>
      </c>
      <c r="C184">
        <v>1</v>
      </c>
      <c r="E184" t="s">
        <v>784</v>
      </c>
      <c r="F184" s="12" t="str">
        <f t="shared" si="6"/>
        <v>'B01'</v>
      </c>
      <c r="G184" s="12" t="str">
        <f t="shared" si="7"/>
        <v>'Ricamp'</v>
      </c>
      <c r="H184" t="s">
        <v>785</v>
      </c>
      <c r="I184" t="s">
        <v>654</v>
      </c>
      <c r="J184" t="str">
        <f t="shared" si="8"/>
        <v>('B01','Ricamp',1),</v>
      </c>
    </row>
    <row r="185" spans="1:10" x14ac:dyDescent="0.25">
      <c r="A185" t="s">
        <v>834</v>
      </c>
      <c r="B185" t="s">
        <v>720</v>
      </c>
      <c r="C185">
        <v>1</v>
      </c>
      <c r="E185" t="s">
        <v>784</v>
      </c>
      <c r="F185" s="12" t="str">
        <f t="shared" si="6"/>
        <v>'b06'</v>
      </c>
      <c r="G185" s="12" t="str">
        <f t="shared" si="7"/>
        <v>'Jose Rivera'</v>
      </c>
      <c r="H185" t="s">
        <v>785</v>
      </c>
      <c r="I185" t="s">
        <v>654</v>
      </c>
      <c r="J185" t="str">
        <f t="shared" si="8"/>
        <v>('b06','Jose Rivera',1),</v>
      </c>
    </row>
    <row r="186" spans="1:10" x14ac:dyDescent="0.25">
      <c r="C186">
        <v>1</v>
      </c>
      <c r="E186" t="s">
        <v>784</v>
      </c>
      <c r="F186" s="12" t="str">
        <f t="shared" si="6"/>
        <v>''</v>
      </c>
      <c r="G186" s="12" t="str">
        <f t="shared" si="7"/>
        <v>''</v>
      </c>
      <c r="H186" t="s">
        <v>785</v>
      </c>
      <c r="I186" t="s">
        <v>654</v>
      </c>
      <c r="J186" t="str">
        <f t="shared" si="8"/>
        <v>('','',1),</v>
      </c>
    </row>
    <row r="187" spans="1:10" x14ac:dyDescent="0.25">
      <c r="A187" t="s">
        <v>709</v>
      </c>
      <c r="B187" t="s">
        <v>710</v>
      </c>
      <c r="C187">
        <v>1</v>
      </c>
      <c r="E187" t="s">
        <v>784</v>
      </c>
      <c r="F187" s="12" t="str">
        <f t="shared" si="6"/>
        <v>'B05'</v>
      </c>
      <c r="G187" s="12" t="str">
        <f t="shared" si="7"/>
        <v>'Maria Elena'</v>
      </c>
      <c r="H187" t="s">
        <v>785</v>
      </c>
      <c r="I187" t="s">
        <v>654</v>
      </c>
      <c r="J187" t="str">
        <f t="shared" si="8"/>
        <v>('B05','Maria Elena',1),</v>
      </c>
    </row>
    <row r="188" spans="1:10" x14ac:dyDescent="0.25">
      <c r="C188">
        <v>1</v>
      </c>
      <c r="E188" t="s">
        <v>784</v>
      </c>
      <c r="F188" s="12" t="str">
        <f t="shared" si="6"/>
        <v>''</v>
      </c>
      <c r="G188" s="12" t="str">
        <f t="shared" si="7"/>
        <v>''</v>
      </c>
      <c r="H188" t="s">
        <v>785</v>
      </c>
      <c r="I188" t="s">
        <v>654</v>
      </c>
      <c r="J188" t="str">
        <f t="shared" si="8"/>
        <v>('','',1),</v>
      </c>
    </row>
    <row r="189" spans="1:10" x14ac:dyDescent="0.25">
      <c r="C189">
        <v>1</v>
      </c>
      <c r="E189" t="s">
        <v>784</v>
      </c>
      <c r="F189" s="12" t="str">
        <f t="shared" si="6"/>
        <v>''</v>
      </c>
      <c r="G189" s="12" t="str">
        <f t="shared" si="7"/>
        <v>''</v>
      </c>
      <c r="H189" t="s">
        <v>785</v>
      </c>
      <c r="I189" t="s">
        <v>654</v>
      </c>
      <c r="J189" t="str">
        <f t="shared" si="8"/>
        <v>('','',1),</v>
      </c>
    </row>
    <row r="190" spans="1:10" x14ac:dyDescent="0.25">
      <c r="A190" t="s">
        <v>711</v>
      </c>
      <c r="B190" t="s">
        <v>712</v>
      </c>
      <c r="C190">
        <v>1</v>
      </c>
      <c r="E190" t="s">
        <v>784</v>
      </c>
      <c r="F190" s="12" t="str">
        <f t="shared" si="6"/>
        <v>'B02'</v>
      </c>
      <c r="G190" s="12" t="str">
        <f t="shared" si="7"/>
        <v>'Ochoa'</v>
      </c>
      <c r="H190" t="s">
        <v>785</v>
      </c>
      <c r="I190" t="s">
        <v>654</v>
      </c>
      <c r="J190" t="str">
        <f t="shared" si="8"/>
        <v>('B02','Ochoa',1),</v>
      </c>
    </row>
    <row r="191" spans="1:10" x14ac:dyDescent="0.25">
      <c r="A191" t="s">
        <v>704</v>
      </c>
      <c r="B191" t="s">
        <v>833</v>
      </c>
      <c r="C191">
        <v>1</v>
      </c>
      <c r="E191" t="s">
        <v>784</v>
      </c>
      <c r="F191" s="12" t="str">
        <f t="shared" si="6"/>
        <v>'B07'</v>
      </c>
      <c r="G191" s="12" t="str">
        <f t="shared" si="7"/>
        <v>'Erik Viveros'</v>
      </c>
      <c r="H191" t="s">
        <v>785</v>
      </c>
      <c r="I191" t="s">
        <v>654</v>
      </c>
      <c r="J191" t="str">
        <f t="shared" si="8"/>
        <v>('B07','Erik Viveros',1),</v>
      </c>
    </row>
    <row r="192" spans="1:10" x14ac:dyDescent="0.25">
      <c r="A192" t="s">
        <v>707</v>
      </c>
      <c r="B192" t="s">
        <v>708</v>
      </c>
      <c r="C192">
        <v>1</v>
      </c>
      <c r="E192" t="s">
        <v>784</v>
      </c>
      <c r="F192" s="12" t="str">
        <f t="shared" si="6"/>
        <v>'B01'</v>
      </c>
      <c r="G192" s="12" t="str">
        <f t="shared" si="7"/>
        <v>'Ricamp'</v>
      </c>
      <c r="H192" t="s">
        <v>785</v>
      </c>
      <c r="I192" t="s">
        <v>654</v>
      </c>
      <c r="J192" t="str">
        <f t="shared" si="8"/>
        <v>('B01','Ricamp',1),</v>
      </c>
    </row>
    <row r="193" spans="1:10" x14ac:dyDescent="0.25">
      <c r="C193">
        <v>1</v>
      </c>
      <c r="E193" t="s">
        <v>784</v>
      </c>
      <c r="F193" s="12" t="str">
        <f t="shared" si="6"/>
        <v>''</v>
      </c>
      <c r="G193" s="12" t="str">
        <f t="shared" si="7"/>
        <v>''</v>
      </c>
      <c r="H193" t="s">
        <v>785</v>
      </c>
      <c r="I193" t="s">
        <v>654</v>
      </c>
      <c r="J193" t="str">
        <f t="shared" si="8"/>
        <v>('','',1),</v>
      </c>
    </row>
    <row r="194" spans="1:10" x14ac:dyDescent="0.25">
      <c r="A194" t="s">
        <v>707</v>
      </c>
      <c r="B194" t="s">
        <v>708</v>
      </c>
      <c r="C194">
        <v>1</v>
      </c>
      <c r="E194" t="s">
        <v>784</v>
      </c>
      <c r="F194" s="12" t="str">
        <f t="shared" si="6"/>
        <v>'B01'</v>
      </c>
      <c r="G194" s="12" t="str">
        <f t="shared" si="7"/>
        <v>'Ricamp'</v>
      </c>
      <c r="H194" t="s">
        <v>785</v>
      </c>
      <c r="I194" t="s">
        <v>654</v>
      </c>
      <c r="J194" t="str">
        <f t="shared" si="8"/>
        <v>('B01','Ricamp',1),</v>
      </c>
    </row>
    <row r="195" spans="1:10" x14ac:dyDescent="0.25">
      <c r="A195" t="s">
        <v>721</v>
      </c>
      <c r="B195" t="s">
        <v>722</v>
      </c>
      <c r="C195">
        <v>1</v>
      </c>
      <c r="E195" t="s">
        <v>784</v>
      </c>
      <c r="F195" s="12" t="str">
        <f t="shared" ref="F195:F258" si="9">+"'"&amp;A195&amp;"'"</f>
        <v>'B15'</v>
      </c>
      <c r="G195" s="12" t="str">
        <f t="shared" ref="G195:G258" si="10">+"'"&amp;B195&amp;"'"</f>
        <v>'Juan Valdivia'</v>
      </c>
      <c r="H195" t="s">
        <v>785</v>
      </c>
      <c r="I195" t="s">
        <v>654</v>
      </c>
      <c r="J195" t="str">
        <f t="shared" ref="J195:J258" si="11">+E195&amp;F195&amp;I195&amp;G195&amp;I195&amp;C195&amp;H195&amp;I195</f>
        <v>('B15','Juan Valdivia',1),</v>
      </c>
    </row>
    <row r="196" spans="1:10" x14ac:dyDescent="0.25">
      <c r="A196" t="s">
        <v>721</v>
      </c>
      <c r="B196" t="s">
        <v>722</v>
      </c>
      <c r="C196">
        <v>1</v>
      </c>
      <c r="E196" t="s">
        <v>784</v>
      </c>
      <c r="F196" s="12" t="str">
        <f t="shared" si="9"/>
        <v>'B15'</v>
      </c>
      <c r="G196" s="12" t="str">
        <f t="shared" si="10"/>
        <v>'Juan Valdivia'</v>
      </c>
      <c r="H196" t="s">
        <v>785</v>
      </c>
      <c r="I196" t="s">
        <v>654</v>
      </c>
      <c r="J196" t="str">
        <f t="shared" si="11"/>
        <v>('B15','Juan Valdivia',1),</v>
      </c>
    </row>
    <row r="197" spans="1:10" x14ac:dyDescent="0.25">
      <c r="A197" t="s">
        <v>721</v>
      </c>
      <c r="B197" t="s">
        <v>722</v>
      </c>
      <c r="C197">
        <v>1</v>
      </c>
      <c r="E197" t="s">
        <v>784</v>
      </c>
      <c r="F197" s="12" t="str">
        <f t="shared" si="9"/>
        <v>'B15'</v>
      </c>
      <c r="G197" s="12" t="str">
        <f t="shared" si="10"/>
        <v>'Juan Valdivia'</v>
      </c>
      <c r="H197" t="s">
        <v>785</v>
      </c>
      <c r="I197" t="s">
        <v>654</v>
      </c>
      <c r="J197" t="str">
        <f t="shared" si="11"/>
        <v>('B15','Juan Valdivia',1),</v>
      </c>
    </row>
    <row r="198" spans="1:10" x14ac:dyDescent="0.25">
      <c r="A198" t="s">
        <v>715</v>
      </c>
      <c r="B198" t="s">
        <v>716</v>
      </c>
      <c r="C198">
        <v>1</v>
      </c>
      <c r="E198" t="s">
        <v>784</v>
      </c>
      <c r="F198" s="12" t="str">
        <f t="shared" si="9"/>
        <v>'B03'</v>
      </c>
      <c r="G198" s="12" t="str">
        <f t="shared" si="10"/>
        <v>'Larifrut'</v>
      </c>
      <c r="H198" t="s">
        <v>785</v>
      </c>
      <c r="I198" t="s">
        <v>654</v>
      </c>
      <c r="J198" t="str">
        <f t="shared" si="11"/>
        <v>('B03','Larifrut',1),</v>
      </c>
    </row>
    <row r="199" spans="1:10" x14ac:dyDescent="0.25">
      <c r="A199" t="s">
        <v>707</v>
      </c>
      <c r="B199" t="s">
        <v>708</v>
      </c>
      <c r="C199">
        <v>1</v>
      </c>
      <c r="E199" t="s">
        <v>784</v>
      </c>
      <c r="F199" s="12" t="str">
        <f t="shared" si="9"/>
        <v>'B01'</v>
      </c>
      <c r="G199" s="12" t="str">
        <f t="shared" si="10"/>
        <v>'Ricamp'</v>
      </c>
      <c r="H199" t="s">
        <v>785</v>
      </c>
      <c r="I199" t="s">
        <v>654</v>
      </c>
      <c r="J199" t="str">
        <f t="shared" si="11"/>
        <v>('B01','Ricamp',1),</v>
      </c>
    </row>
    <row r="200" spans="1:10" x14ac:dyDescent="0.25">
      <c r="A200" t="s">
        <v>707</v>
      </c>
      <c r="B200" t="s">
        <v>708</v>
      </c>
      <c r="C200">
        <v>1</v>
      </c>
      <c r="E200" t="s">
        <v>784</v>
      </c>
      <c r="F200" s="12" t="str">
        <f t="shared" si="9"/>
        <v>'B01'</v>
      </c>
      <c r="G200" s="12" t="str">
        <f t="shared" si="10"/>
        <v>'Ricamp'</v>
      </c>
      <c r="H200" t="s">
        <v>785</v>
      </c>
      <c r="I200" t="s">
        <v>654</v>
      </c>
      <c r="J200" t="str">
        <f t="shared" si="11"/>
        <v>('B01','Ricamp',1),</v>
      </c>
    </row>
    <row r="201" spans="1:10" x14ac:dyDescent="0.25">
      <c r="A201" t="s">
        <v>707</v>
      </c>
      <c r="B201" t="s">
        <v>708</v>
      </c>
      <c r="C201">
        <v>1</v>
      </c>
      <c r="E201" t="s">
        <v>784</v>
      </c>
      <c r="F201" s="12" t="str">
        <f t="shared" si="9"/>
        <v>'B01'</v>
      </c>
      <c r="G201" s="12" t="str">
        <f t="shared" si="10"/>
        <v>'Ricamp'</v>
      </c>
      <c r="H201" t="s">
        <v>785</v>
      </c>
      <c r="I201" t="s">
        <v>654</v>
      </c>
      <c r="J201" t="str">
        <f t="shared" si="11"/>
        <v>('B01','Ricamp',1),</v>
      </c>
    </row>
    <row r="202" spans="1:10" x14ac:dyDescent="0.25">
      <c r="A202" t="s">
        <v>705</v>
      </c>
      <c r="B202" t="s">
        <v>706</v>
      </c>
      <c r="C202">
        <v>1</v>
      </c>
      <c r="E202" t="s">
        <v>784</v>
      </c>
      <c r="F202" s="12" t="str">
        <f t="shared" si="9"/>
        <v>'B12'</v>
      </c>
      <c r="G202" s="12" t="str">
        <f t="shared" si="10"/>
        <v>'Ramon Larios'</v>
      </c>
      <c r="H202" t="s">
        <v>785</v>
      </c>
      <c r="I202" t="s">
        <v>654</v>
      </c>
      <c r="J202" t="str">
        <f t="shared" si="11"/>
        <v>('B12','Ramon Larios',1),</v>
      </c>
    </row>
    <row r="203" spans="1:10" x14ac:dyDescent="0.25">
      <c r="A203" t="s">
        <v>717</v>
      </c>
      <c r="B203" t="s">
        <v>718</v>
      </c>
      <c r="C203">
        <v>1</v>
      </c>
      <c r="E203" t="s">
        <v>784</v>
      </c>
      <c r="F203" s="12" t="str">
        <f t="shared" si="9"/>
        <v>'B20'</v>
      </c>
      <c r="G203" s="12" t="str">
        <f t="shared" si="10"/>
        <v>'Jorge Garcia'</v>
      </c>
      <c r="H203" t="s">
        <v>785</v>
      </c>
      <c r="I203" t="s">
        <v>654</v>
      </c>
      <c r="J203" t="str">
        <f t="shared" si="11"/>
        <v>('B20','Jorge Garcia',1),</v>
      </c>
    </row>
    <row r="204" spans="1:10" x14ac:dyDescent="0.25">
      <c r="A204" t="s">
        <v>707</v>
      </c>
      <c r="B204" t="s">
        <v>708</v>
      </c>
      <c r="C204">
        <v>1</v>
      </c>
      <c r="E204" t="s">
        <v>784</v>
      </c>
      <c r="F204" s="12" t="str">
        <f t="shared" si="9"/>
        <v>'B01'</v>
      </c>
      <c r="G204" s="12" t="str">
        <f t="shared" si="10"/>
        <v>'Ricamp'</v>
      </c>
      <c r="H204" t="s">
        <v>785</v>
      </c>
      <c r="I204" t="s">
        <v>654</v>
      </c>
      <c r="J204" t="str">
        <f t="shared" si="11"/>
        <v>('B01','Ricamp',1),</v>
      </c>
    </row>
    <row r="205" spans="1:10" x14ac:dyDescent="0.25">
      <c r="A205" t="s">
        <v>707</v>
      </c>
      <c r="B205" t="s">
        <v>708</v>
      </c>
      <c r="C205">
        <v>1</v>
      </c>
      <c r="E205" t="s">
        <v>784</v>
      </c>
      <c r="F205" s="12" t="str">
        <f t="shared" si="9"/>
        <v>'B01'</v>
      </c>
      <c r="G205" s="12" t="str">
        <f t="shared" si="10"/>
        <v>'Ricamp'</v>
      </c>
      <c r="H205" t="s">
        <v>785</v>
      </c>
      <c r="I205" t="s">
        <v>654</v>
      </c>
      <c r="J205" t="str">
        <f t="shared" si="11"/>
        <v>('B01','Ricamp',1),</v>
      </c>
    </row>
    <row r="206" spans="1:10" x14ac:dyDescent="0.25">
      <c r="A206" t="s">
        <v>707</v>
      </c>
      <c r="B206" t="s">
        <v>708</v>
      </c>
      <c r="C206">
        <v>1</v>
      </c>
      <c r="E206" t="s">
        <v>784</v>
      </c>
      <c r="F206" s="12" t="str">
        <f t="shared" si="9"/>
        <v>'B01'</v>
      </c>
      <c r="G206" s="12" t="str">
        <f t="shared" si="10"/>
        <v>'Ricamp'</v>
      </c>
      <c r="H206" t="s">
        <v>785</v>
      </c>
      <c r="I206" t="s">
        <v>654</v>
      </c>
      <c r="J206" t="str">
        <f t="shared" si="11"/>
        <v>('B01','Ricamp',1),</v>
      </c>
    </row>
    <row r="207" spans="1:10" x14ac:dyDescent="0.25">
      <c r="A207" t="s">
        <v>707</v>
      </c>
      <c r="B207" t="s">
        <v>708</v>
      </c>
      <c r="C207">
        <v>1</v>
      </c>
      <c r="E207" t="s">
        <v>784</v>
      </c>
      <c r="F207" s="12" t="str">
        <f t="shared" si="9"/>
        <v>'B01'</v>
      </c>
      <c r="G207" s="12" t="str">
        <f t="shared" si="10"/>
        <v>'Ricamp'</v>
      </c>
      <c r="H207" t="s">
        <v>785</v>
      </c>
      <c r="I207" t="s">
        <v>654</v>
      </c>
      <c r="J207" t="str">
        <f t="shared" si="11"/>
        <v>('B01','Ricamp',1),</v>
      </c>
    </row>
    <row r="208" spans="1:10" x14ac:dyDescent="0.25">
      <c r="A208" t="s">
        <v>707</v>
      </c>
      <c r="B208" t="s">
        <v>708</v>
      </c>
      <c r="C208">
        <v>1</v>
      </c>
      <c r="E208" t="s">
        <v>784</v>
      </c>
      <c r="F208" s="12" t="str">
        <f t="shared" si="9"/>
        <v>'B01'</v>
      </c>
      <c r="G208" s="12" t="str">
        <f t="shared" si="10"/>
        <v>'Ricamp'</v>
      </c>
      <c r="H208" t="s">
        <v>785</v>
      </c>
      <c r="I208" t="s">
        <v>654</v>
      </c>
      <c r="J208" t="str">
        <f t="shared" si="11"/>
        <v>('B01','Ricamp',1),</v>
      </c>
    </row>
    <row r="209" spans="1:10" x14ac:dyDescent="0.25">
      <c r="A209" t="s">
        <v>707</v>
      </c>
      <c r="B209" t="s">
        <v>708</v>
      </c>
      <c r="C209">
        <v>1</v>
      </c>
      <c r="E209" t="s">
        <v>784</v>
      </c>
      <c r="F209" s="12" t="str">
        <f t="shared" si="9"/>
        <v>'B01'</v>
      </c>
      <c r="G209" s="12" t="str">
        <f t="shared" si="10"/>
        <v>'Ricamp'</v>
      </c>
      <c r="H209" t="s">
        <v>785</v>
      </c>
      <c r="I209" t="s">
        <v>654</v>
      </c>
      <c r="J209" t="str">
        <f t="shared" si="11"/>
        <v>('B01','Ricamp',1),</v>
      </c>
    </row>
    <row r="210" spans="1:10" x14ac:dyDescent="0.25">
      <c r="C210">
        <v>1</v>
      </c>
      <c r="E210" t="s">
        <v>784</v>
      </c>
      <c r="F210" s="12" t="str">
        <f t="shared" si="9"/>
        <v>''</v>
      </c>
      <c r="G210" s="12" t="str">
        <f t="shared" si="10"/>
        <v>''</v>
      </c>
      <c r="H210" t="s">
        <v>785</v>
      </c>
      <c r="I210" t="s">
        <v>654</v>
      </c>
      <c r="J210" t="str">
        <f t="shared" si="11"/>
        <v>('','',1),</v>
      </c>
    </row>
    <row r="211" spans="1:10" x14ac:dyDescent="0.25">
      <c r="A211" t="s">
        <v>777</v>
      </c>
      <c r="B211" t="s">
        <v>778</v>
      </c>
      <c r="C211">
        <v>1</v>
      </c>
      <c r="E211" t="s">
        <v>784</v>
      </c>
      <c r="F211" s="12" t="str">
        <f t="shared" si="9"/>
        <v>'B08'</v>
      </c>
      <c r="G211" s="12" t="str">
        <f t="shared" si="10"/>
        <v>'Ramon Peña'</v>
      </c>
      <c r="H211" t="s">
        <v>785</v>
      </c>
      <c r="I211" t="s">
        <v>654</v>
      </c>
      <c r="J211" t="str">
        <f t="shared" si="11"/>
        <v>('B08','Ramon Peña',1),</v>
      </c>
    </row>
    <row r="212" spans="1:10" x14ac:dyDescent="0.25">
      <c r="A212" t="s">
        <v>709</v>
      </c>
      <c r="B212" t="s">
        <v>710</v>
      </c>
      <c r="C212">
        <v>1</v>
      </c>
      <c r="E212" t="s">
        <v>784</v>
      </c>
      <c r="F212" s="12" t="str">
        <f t="shared" si="9"/>
        <v>'B05'</v>
      </c>
      <c r="G212" s="12" t="str">
        <f t="shared" si="10"/>
        <v>'Maria Elena'</v>
      </c>
      <c r="H212" t="s">
        <v>785</v>
      </c>
      <c r="I212" t="s">
        <v>654</v>
      </c>
      <c r="J212" t="str">
        <f t="shared" si="11"/>
        <v>('B05','Maria Elena',1),</v>
      </c>
    </row>
    <row r="213" spans="1:10" x14ac:dyDescent="0.25">
      <c r="A213" t="s">
        <v>709</v>
      </c>
      <c r="B213" t="s">
        <v>710</v>
      </c>
      <c r="C213">
        <v>1</v>
      </c>
      <c r="E213" t="s">
        <v>784</v>
      </c>
      <c r="F213" s="12" t="str">
        <f t="shared" si="9"/>
        <v>'B05'</v>
      </c>
      <c r="G213" s="12" t="str">
        <f t="shared" si="10"/>
        <v>'Maria Elena'</v>
      </c>
      <c r="H213" t="s">
        <v>785</v>
      </c>
      <c r="I213" t="s">
        <v>654</v>
      </c>
      <c r="J213" t="str">
        <f t="shared" si="11"/>
        <v>('B05','Maria Elena',1),</v>
      </c>
    </row>
    <row r="214" spans="1:10" x14ac:dyDescent="0.25">
      <c r="C214">
        <v>1</v>
      </c>
      <c r="E214" t="s">
        <v>784</v>
      </c>
      <c r="F214" s="12" t="str">
        <f t="shared" si="9"/>
        <v>''</v>
      </c>
      <c r="G214" s="12" t="str">
        <f t="shared" si="10"/>
        <v>''</v>
      </c>
      <c r="H214" t="s">
        <v>785</v>
      </c>
      <c r="I214" t="s">
        <v>654</v>
      </c>
      <c r="J214" t="str">
        <f t="shared" si="11"/>
        <v>('','',1),</v>
      </c>
    </row>
    <row r="215" spans="1:10" x14ac:dyDescent="0.25">
      <c r="A215" t="s">
        <v>779</v>
      </c>
      <c r="B215" t="s">
        <v>780</v>
      </c>
      <c r="C215">
        <v>1</v>
      </c>
      <c r="E215" t="s">
        <v>784</v>
      </c>
      <c r="F215" s="12" t="str">
        <f t="shared" si="9"/>
        <v>'B25'</v>
      </c>
      <c r="G215" s="12" t="str">
        <f t="shared" si="10"/>
        <v>'Deyvi Feliciano'</v>
      </c>
      <c r="H215" t="s">
        <v>785</v>
      </c>
      <c r="I215" t="s">
        <v>654</v>
      </c>
      <c r="J215" t="str">
        <f t="shared" si="11"/>
        <v>('B25','Deyvi Feliciano',1),</v>
      </c>
    </row>
    <row r="216" spans="1:10" x14ac:dyDescent="0.25">
      <c r="A216" t="s">
        <v>835</v>
      </c>
      <c r="B216" t="s">
        <v>708</v>
      </c>
      <c r="C216">
        <v>1</v>
      </c>
      <c r="E216" t="s">
        <v>784</v>
      </c>
      <c r="F216" s="12" t="str">
        <f t="shared" si="9"/>
        <v>'B13'</v>
      </c>
      <c r="G216" s="12" t="str">
        <f t="shared" si="10"/>
        <v>'Ricamp'</v>
      </c>
      <c r="H216" t="s">
        <v>785</v>
      </c>
      <c r="I216" t="s">
        <v>654</v>
      </c>
      <c r="J216" t="str">
        <f t="shared" si="11"/>
        <v>('B13','Ricamp',1),</v>
      </c>
    </row>
    <row r="217" spans="1:10" x14ac:dyDescent="0.25">
      <c r="A217" t="s">
        <v>707</v>
      </c>
      <c r="B217" t="s">
        <v>708</v>
      </c>
      <c r="C217">
        <v>1</v>
      </c>
      <c r="E217" t="s">
        <v>784</v>
      </c>
      <c r="F217" s="12" t="str">
        <f t="shared" si="9"/>
        <v>'B01'</v>
      </c>
      <c r="G217" s="12" t="str">
        <f t="shared" si="10"/>
        <v>'Ricamp'</v>
      </c>
      <c r="H217" t="s">
        <v>785</v>
      </c>
      <c r="I217" t="s">
        <v>654</v>
      </c>
      <c r="J217" t="str">
        <f t="shared" si="11"/>
        <v>('B01','Ricamp',1),</v>
      </c>
    </row>
    <row r="218" spans="1:10" x14ac:dyDescent="0.25">
      <c r="A218" t="s">
        <v>707</v>
      </c>
      <c r="B218" t="s">
        <v>708</v>
      </c>
      <c r="C218">
        <v>1</v>
      </c>
      <c r="E218" t="s">
        <v>784</v>
      </c>
      <c r="F218" s="12" t="str">
        <f t="shared" si="9"/>
        <v>'B01'</v>
      </c>
      <c r="G218" s="12" t="str">
        <f t="shared" si="10"/>
        <v>'Ricamp'</v>
      </c>
      <c r="H218" t="s">
        <v>785</v>
      </c>
      <c r="I218" t="s">
        <v>654</v>
      </c>
      <c r="J218" t="str">
        <f t="shared" si="11"/>
        <v>('B01','Ricamp',1),</v>
      </c>
    </row>
    <row r="219" spans="1:10" x14ac:dyDescent="0.25">
      <c r="A219" t="s">
        <v>707</v>
      </c>
      <c r="B219" t="s">
        <v>708</v>
      </c>
      <c r="C219">
        <v>1</v>
      </c>
      <c r="E219" t="s">
        <v>784</v>
      </c>
      <c r="F219" s="12" t="str">
        <f t="shared" si="9"/>
        <v>'B01'</v>
      </c>
      <c r="G219" s="12" t="str">
        <f t="shared" si="10"/>
        <v>'Ricamp'</v>
      </c>
      <c r="H219" t="s">
        <v>785</v>
      </c>
      <c r="I219" t="s">
        <v>654</v>
      </c>
      <c r="J219" t="str">
        <f t="shared" si="11"/>
        <v>('B01','Ricamp',1),</v>
      </c>
    </row>
    <row r="220" spans="1:10" x14ac:dyDescent="0.25">
      <c r="A220" t="s">
        <v>715</v>
      </c>
      <c r="B220" t="s">
        <v>716</v>
      </c>
      <c r="C220">
        <v>1</v>
      </c>
      <c r="E220" t="s">
        <v>784</v>
      </c>
      <c r="F220" s="12" t="str">
        <f t="shared" si="9"/>
        <v>'B03'</v>
      </c>
      <c r="G220" s="12" t="str">
        <f t="shared" si="10"/>
        <v>'Larifrut'</v>
      </c>
      <c r="H220" t="s">
        <v>785</v>
      </c>
      <c r="I220" t="s">
        <v>654</v>
      </c>
      <c r="J220" t="str">
        <f t="shared" si="11"/>
        <v>('B03','Larifrut',1),</v>
      </c>
    </row>
    <row r="221" spans="1:10" x14ac:dyDescent="0.25">
      <c r="A221" t="s">
        <v>711</v>
      </c>
      <c r="B221" t="s">
        <v>712</v>
      </c>
      <c r="C221">
        <v>1</v>
      </c>
      <c r="E221" t="s">
        <v>784</v>
      </c>
      <c r="F221" s="12" t="str">
        <f t="shared" si="9"/>
        <v>'B02'</v>
      </c>
      <c r="G221" s="12" t="str">
        <f t="shared" si="10"/>
        <v>'Ochoa'</v>
      </c>
      <c r="H221" t="s">
        <v>785</v>
      </c>
      <c r="I221" t="s">
        <v>654</v>
      </c>
      <c r="J221" t="str">
        <f t="shared" si="11"/>
        <v>('B02','Ochoa',1),</v>
      </c>
    </row>
    <row r="222" spans="1:10" x14ac:dyDescent="0.25">
      <c r="A222" t="s">
        <v>709</v>
      </c>
      <c r="B222" t="s">
        <v>710</v>
      </c>
      <c r="C222">
        <v>1</v>
      </c>
      <c r="E222" t="s">
        <v>784</v>
      </c>
      <c r="F222" s="12" t="str">
        <f t="shared" si="9"/>
        <v>'B05'</v>
      </c>
      <c r="G222" s="12" t="str">
        <f t="shared" si="10"/>
        <v>'Maria Elena'</v>
      </c>
      <c r="H222" t="s">
        <v>785</v>
      </c>
      <c r="I222" t="s">
        <v>654</v>
      </c>
      <c r="J222" t="str">
        <f t="shared" si="11"/>
        <v>('B05','Maria Elena',1),</v>
      </c>
    </row>
    <row r="223" spans="1:10" x14ac:dyDescent="0.25">
      <c r="C223">
        <v>1</v>
      </c>
      <c r="E223" t="s">
        <v>784</v>
      </c>
      <c r="F223" s="12" t="str">
        <f t="shared" si="9"/>
        <v>''</v>
      </c>
      <c r="G223" s="12" t="str">
        <f t="shared" si="10"/>
        <v>''</v>
      </c>
      <c r="H223" t="s">
        <v>785</v>
      </c>
      <c r="I223" t="s">
        <v>654</v>
      </c>
      <c r="J223" t="str">
        <f t="shared" si="11"/>
        <v>('','',1),</v>
      </c>
    </row>
    <row r="224" spans="1:10" x14ac:dyDescent="0.25">
      <c r="A224" t="s">
        <v>741</v>
      </c>
      <c r="B224" t="s">
        <v>742</v>
      </c>
      <c r="C224">
        <v>1</v>
      </c>
      <c r="E224" t="s">
        <v>784</v>
      </c>
      <c r="F224" s="12" t="str">
        <f t="shared" si="9"/>
        <v>'B04'</v>
      </c>
      <c r="G224" s="12" t="str">
        <f t="shared" si="10"/>
        <v>'Banamac'</v>
      </c>
      <c r="H224" t="s">
        <v>785</v>
      </c>
      <c r="I224" t="s">
        <v>654</v>
      </c>
      <c r="J224" t="str">
        <f t="shared" si="11"/>
        <v>('B04','Banamac',1),</v>
      </c>
    </row>
    <row r="225" spans="1:10" x14ac:dyDescent="0.25">
      <c r="A225" t="s">
        <v>715</v>
      </c>
      <c r="B225" t="s">
        <v>716</v>
      </c>
      <c r="C225">
        <v>1</v>
      </c>
      <c r="E225" t="s">
        <v>784</v>
      </c>
      <c r="F225" s="12" t="str">
        <f t="shared" si="9"/>
        <v>'B03'</v>
      </c>
      <c r="G225" s="12" t="str">
        <f t="shared" si="10"/>
        <v>'Larifrut'</v>
      </c>
      <c r="H225" t="s">
        <v>785</v>
      </c>
      <c r="I225" t="s">
        <v>654</v>
      </c>
      <c r="J225" t="str">
        <f t="shared" si="11"/>
        <v>('B03','Larifrut',1),</v>
      </c>
    </row>
    <row r="226" spans="1:10" x14ac:dyDescent="0.25">
      <c r="A226" t="s">
        <v>715</v>
      </c>
      <c r="B226" t="s">
        <v>716</v>
      </c>
      <c r="C226">
        <v>1</v>
      </c>
      <c r="E226" t="s">
        <v>784</v>
      </c>
      <c r="F226" s="12" t="str">
        <f t="shared" si="9"/>
        <v>'B03'</v>
      </c>
      <c r="G226" s="12" t="str">
        <f t="shared" si="10"/>
        <v>'Larifrut'</v>
      </c>
      <c r="H226" t="s">
        <v>785</v>
      </c>
      <c r="I226" t="s">
        <v>654</v>
      </c>
      <c r="J226" t="str">
        <f t="shared" si="11"/>
        <v>('B03','Larifrut',1),</v>
      </c>
    </row>
    <row r="227" spans="1:10" x14ac:dyDescent="0.25">
      <c r="A227" t="s">
        <v>715</v>
      </c>
      <c r="B227" t="s">
        <v>716</v>
      </c>
      <c r="C227">
        <v>1</v>
      </c>
      <c r="E227" t="s">
        <v>784</v>
      </c>
      <c r="F227" s="12" t="str">
        <f t="shared" si="9"/>
        <v>'B03'</v>
      </c>
      <c r="G227" s="12" t="str">
        <f t="shared" si="10"/>
        <v>'Larifrut'</v>
      </c>
      <c r="H227" t="s">
        <v>785</v>
      </c>
      <c r="I227" t="s">
        <v>654</v>
      </c>
      <c r="J227" t="str">
        <f t="shared" si="11"/>
        <v>('B03','Larifrut',1),</v>
      </c>
    </row>
    <row r="228" spans="1:10" x14ac:dyDescent="0.25">
      <c r="C228">
        <v>1</v>
      </c>
      <c r="E228" t="s">
        <v>784</v>
      </c>
      <c r="F228" s="12" t="str">
        <f t="shared" si="9"/>
        <v>''</v>
      </c>
      <c r="G228" s="12" t="str">
        <f t="shared" si="10"/>
        <v>''</v>
      </c>
      <c r="H228" t="s">
        <v>785</v>
      </c>
      <c r="I228" t="s">
        <v>654</v>
      </c>
      <c r="J228" t="str">
        <f t="shared" si="11"/>
        <v>('','',1),</v>
      </c>
    </row>
    <row r="229" spans="1:10" x14ac:dyDescent="0.25">
      <c r="C229">
        <v>1</v>
      </c>
      <c r="E229" t="s">
        <v>784</v>
      </c>
      <c r="F229" s="12" t="str">
        <f t="shared" si="9"/>
        <v>''</v>
      </c>
      <c r="G229" s="12" t="str">
        <f t="shared" si="10"/>
        <v>''</v>
      </c>
      <c r="H229" t="s">
        <v>785</v>
      </c>
      <c r="I229" t="s">
        <v>654</v>
      </c>
      <c r="J229" t="str">
        <f t="shared" si="11"/>
        <v>('','',1),</v>
      </c>
    </row>
    <row r="230" spans="1:10" x14ac:dyDescent="0.25">
      <c r="A230" t="s">
        <v>707</v>
      </c>
      <c r="B230" t="s">
        <v>708</v>
      </c>
      <c r="C230">
        <v>1</v>
      </c>
      <c r="E230" t="s">
        <v>784</v>
      </c>
      <c r="F230" s="12" t="str">
        <f t="shared" si="9"/>
        <v>'B01'</v>
      </c>
      <c r="G230" s="12" t="str">
        <f t="shared" si="10"/>
        <v>'Ricamp'</v>
      </c>
      <c r="H230" t="s">
        <v>785</v>
      </c>
      <c r="I230" t="s">
        <v>654</v>
      </c>
      <c r="J230" t="str">
        <f t="shared" si="11"/>
        <v>('B01','Ricamp',1),</v>
      </c>
    </row>
    <row r="231" spans="1:10" x14ac:dyDescent="0.25">
      <c r="A231" t="s">
        <v>707</v>
      </c>
      <c r="B231" t="s">
        <v>708</v>
      </c>
      <c r="C231">
        <v>1</v>
      </c>
      <c r="E231" t="s">
        <v>784</v>
      </c>
      <c r="F231" s="12" t="str">
        <f t="shared" si="9"/>
        <v>'B01'</v>
      </c>
      <c r="G231" s="12" t="str">
        <f t="shared" si="10"/>
        <v>'Ricamp'</v>
      </c>
      <c r="H231" t="s">
        <v>785</v>
      </c>
      <c r="I231" t="s">
        <v>654</v>
      </c>
      <c r="J231" t="str">
        <f t="shared" si="11"/>
        <v>('B01','Ricamp',1),</v>
      </c>
    </row>
    <row r="232" spans="1:10" x14ac:dyDescent="0.25">
      <c r="A232" t="s">
        <v>715</v>
      </c>
      <c r="B232" t="s">
        <v>716</v>
      </c>
      <c r="C232">
        <v>1</v>
      </c>
      <c r="E232" t="s">
        <v>784</v>
      </c>
      <c r="F232" s="12" t="str">
        <f t="shared" si="9"/>
        <v>'B03'</v>
      </c>
      <c r="G232" s="12" t="str">
        <f t="shared" si="10"/>
        <v>'Larifrut'</v>
      </c>
      <c r="H232" t="s">
        <v>785</v>
      </c>
      <c r="I232" t="s">
        <v>654</v>
      </c>
      <c r="J232" t="str">
        <f t="shared" si="11"/>
        <v>('B03','Larifrut',1),</v>
      </c>
    </row>
    <row r="233" spans="1:10" x14ac:dyDescent="0.25">
      <c r="A233" t="s">
        <v>715</v>
      </c>
      <c r="B233" t="s">
        <v>716</v>
      </c>
      <c r="C233">
        <v>1</v>
      </c>
      <c r="E233" t="s">
        <v>784</v>
      </c>
      <c r="F233" s="12" t="str">
        <f t="shared" si="9"/>
        <v>'B03'</v>
      </c>
      <c r="G233" s="12" t="str">
        <f t="shared" si="10"/>
        <v>'Larifrut'</v>
      </c>
      <c r="H233" t="s">
        <v>785</v>
      </c>
      <c r="I233" t="s">
        <v>654</v>
      </c>
      <c r="J233" t="str">
        <f t="shared" si="11"/>
        <v>('B03','Larifrut',1),</v>
      </c>
    </row>
    <row r="234" spans="1:10" x14ac:dyDescent="0.25">
      <c r="A234" t="s">
        <v>715</v>
      </c>
      <c r="B234" t="s">
        <v>716</v>
      </c>
      <c r="C234">
        <v>1</v>
      </c>
      <c r="E234" t="s">
        <v>784</v>
      </c>
      <c r="F234" s="12" t="str">
        <f t="shared" si="9"/>
        <v>'B03'</v>
      </c>
      <c r="G234" s="12" t="str">
        <f t="shared" si="10"/>
        <v>'Larifrut'</v>
      </c>
      <c r="H234" t="s">
        <v>785</v>
      </c>
      <c r="I234" t="s">
        <v>654</v>
      </c>
      <c r="J234" t="str">
        <f t="shared" si="11"/>
        <v>('B03','Larifrut',1),</v>
      </c>
    </row>
    <row r="235" spans="1:10" x14ac:dyDescent="0.25">
      <c r="A235" t="s">
        <v>707</v>
      </c>
      <c r="B235" t="s">
        <v>708</v>
      </c>
      <c r="C235">
        <v>1</v>
      </c>
      <c r="E235" t="s">
        <v>784</v>
      </c>
      <c r="F235" s="12" t="str">
        <f t="shared" si="9"/>
        <v>'B01'</v>
      </c>
      <c r="G235" s="12" t="str">
        <f t="shared" si="10"/>
        <v>'Ricamp'</v>
      </c>
      <c r="H235" t="s">
        <v>785</v>
      </c>
      <c r="I235" t="s">
        <v>654</v>
      </c>
      <c r="J235" t="str">
        <f t="shared" si="11"/>
        <v>('B01','Ricamp',1),</v>
      </c>
    </row>
    <row r="236" spans="1:10" x14ac:dyDescent="0.25">
      <c r="A236" t="s">
        <v>715</v>
      </c>
      <c r="B236" t="s">
        <v>716</v>
      </c>
      <c r="C236">
        <v>1</v>
      </c>
      <c r="E236" t="s">
        <v>784</v>
      </c>
      <c r="F236" s="12" t="str">
        <f t="shared" si="9"/>
        <v>'B03'</v>
      </c>
      <c r="G236" s="12" t="str">
        <f t="shared" si="10"/>
        <v>'Larifrut'</v>
      </c>
      <c r="H236" t="s">
        <v>785</v>
      </c>
      <c r="I236" t="s">
        <v>654</v>
      </c>
      <c r="J236" t="str">
        <f t="shared" si="11"/>
        <v>('B03','Larifrut',1),</v>
      </c>
    </row>
    <row r="237" spans="1:10" x14ac:dyDescent="0.25">
      <c r="A237" t="s">
        <v>709</v>
      </c>
      <c r="B237" t="s">
        <v>710</v>
      </c>
      <c r="C237">
        <v>1</v>
      </c>
      <c r="E237" t="s">
        <v>784</v>
      </c>
      <c r="F237" s="12" t="str">
        <f t="shared" si="9"/>
        <v>'B05'</v>
      </c>
      <c r="G237" s="12" t="str">
        <f t="shared" si="10"/>
        <v>'Maria Elena'</v>
      </c>
      <c r="H237" t="s">
        <v>785</v>
      </c>
      <c r="I237" t="s">
        <v>654</v>
      </c>
      <c r="J237" t="str">
        <f t="shared" si="11"/>
        <v>('B05','Maria Elena',1),</v>
      </c>
    </row>
    <row r="238" spans="1:10" x14ac:dyDescent="0.25">
      <c r="A238" t="s">
        <v>707</v>
      </c>
      <c r="B238" t="s">
        <v>708</v>
      </c>
      <c r="C238">
        <v>1</v>
      </c>
      <c r="E238" t="s">
        <v>784</v>
      </c>
      <c r="F238" s="12" t="str">
        <f t="shared" si="9"/>
        <v>'B01'</v>
      </c>
      <c r="G238" s="12" t="str">
        <f t="shared" si="10"/>
        <v>'Ricamp'</v>
      </c>
      <c r="H238" t="s">
        <v>785</v>
      </c>
      <c r="I238" t="s">
        <v>654</v>
      </c>
      <c r="J238" t="str">
        <f t="shared" si="11"/>
        <v>('B01','Ricamp',1),</v>
      </c>
    </row>
    <row r="239" spans="1:10" x14ac:dyDescent="0.25">
      <c r="A239" t="s">
        <v>715</v>
      </c>
      <c r="B239" t="s">
        <v>716</v>
      </c>
      <c r="C239">
        <v>1</v>
      </c>
      <c r="E239" t="s">
        <v>784</v>
      </c>
      <c r="F239" s="12" t="str">
        <f t="shared" si="9"/>
        <v>'B03'</v>
      </c>
      <c r="G239" s="12" t="str">
        <f t="shared" si="10"/>
        <v>'Larifrut'</v>
      </c>
      <c r="H239" t="s">
        <v>785</v>
      </c>
      <c r="I239" t="s">
        <v>654</v>
      </c>
      <c r="J239" t="str">
        <f t="shared" si="11"/>
        <v>('B03','Larifrut',1),</v>
      </c>
    </row>
    <row r="240" spans="1:10" x14ac:dyDescent="0.25">
      <c r="A240" t="s">
        <v>835</v>
      </c>
      <c r="B240" t="s">
        <v>836</v>
      </c>
      <c r="C240">
        <v>1</v>
      </c>
      <c r="E240" t="s">
        <v>784</v>
      </c>
      <c r="F240" s="12" t="str">
        <f t="shared" si="9"/>
        <v>'B13'</v>
      </c>
      <c r="G240" s="12" t="str">
        <f t="shared" si="10"/>
        <v>'Pedro Peña'</v>
      </c>
      <c r="H240" t="s">
        <v>785</v>
      </c>
      <c r="I240" t="s">
        <v>654</v>
      </c>
      <c r="J240" t="str">
        <f t="shared" si="11"/>
        <v>('B13','Pedro Peña',1),</v>
      </c>
    </row>
    <row r="241" spans="1:10" x14ac:dyDescent="0.25">
      <c r="A241" t="s">
        <v>705</v>
      </c>
      <c r="B241" t="s">
        <v>706</v>
      </c>
      <c r="C241">
        <v>1</v>
      </c>
      <c r="E241" t="s">
        <v>784</v>
      </c>
      <c r="F241" s="12" t="str">
        <f t="shared" si="9"/>
        <v>'B12'</v>
      </c>
      <c r="G241" s="12" t="str">
        <f t="shared" si="10"/>
        <v>'Ramon Larios'</v>
      </c>
      <c r="H241" t="s">
        <v>785</v>
      </c>
      <c r="I241" t="s">
        <v>654</v>
      </c>
      <c r="J241" t="str">
        <f t="shared" si="11"/>
        <v>('B12','Ramon Larios',1),</v>
      </c>
    </row>
    <row r="242" spans="1:10" x14ac:dyDescent="0.25">
      <c r="A242" t="s">
        <v>707</v>
      </c>
      <c r="B242" t="s">
        <v>708</v>
      </c>
      <c r="C242">
        <v>1</v>
      </c>
      <c r="E242" t="s">
        <v>784</v>
      </c>
      <c r="F242" s="12" t="str">
        <f t="shared" si="9"/>
        <v>'B01'</v>
      </c>
      <c r="G242" s="12" t="str">
        <f t="shared" si="10"/>
        <v>'Ricamp'</v>
      </c>
      <c r="H242" t="s">
        <v>785</v>
      </c>
      <c r="I242" t="s">
        <v>654</v>
      </c>
      <c r="J242" t="str">
        <f t="shared" si="11"/>
        <v>('B01','Ricamp',1),</v>
      </c>
    </row>
    <row r="243" spans="1:10" x14ac:dyDescent="0.25">
      <c r="A243" t="s">
        <v>707</v>
      </c>
      <c r="B243" t="s">
        <v>708</v>
      </c>
      <c r="C243">
        <v>1</v>
      </c>
      <c r="E243" t="s">
        <v>784</v>
      </c>
      <c r="F243" s="12" t="str">
        <f t="shared" si="9"/>
        <v>'B01'</v>
      </c>
      <c r="G243" s="12" t="str">
        <f t="shared" si="10"/>
        <v>'Ricamp'</v>
      </c>
      <c r="H243" t="s">
        <v>785</v>
      </c>
      <c r="I243" t="s">
        <v>654</v>
      </c>
      <c r="J243" t="str">
        <f t="shared" si="11"/>
        <v>('B01','Ricamp',1),</v>
      </c>
    </row>
    <row r="244" spans="1:10" x14ac:dyDescent="0.25">
      <c r="A244" t="s">
        <v>715</v>
      </c>
      <c r="B244" t="s">
        <v>716</v>
      </c>
      <c r="C244">
        <v>1</v>
      </c>
      <c r="E244" t="s">
        <v>784</v>
      </c>
      <c r="F244" s="12" t="str">
        <f t="shared" si="9"/>
        <v>'B03'</v>
      </c>
      <c r="G244" s="12" t="str">
        <f t="shared" si="10"/>
        <v>'Larifrut'</v>
      </c>
      <c r="H244" t="s">
        <v>785</v>
      </c>
      <c r="I244" t="s">
        <v>654</v>
      </c>
      <c r="J244" t="str">
        <f t="shared" si="11"/>
        <v>('B03','Larifrut',1),</v>
      </c>
    </row>
    <row r="245" spans="1:10" x14ac:dyDescent="0.25">
      <c r="A245" t="s">
        <v>715</v>
      </c>
      <c r="B245" t="s">
        <v>716</v>
      </c>
      <c r="C245">
        <v>1</v>
      </c>
      <c r="E245" t="s">
        <v>784</v>
      </c>
      <c r="F245" s="12" t="str">
        <f t="shared" si="9"/>
        <v>'B03'</v>
      </c>
      <c r="G245" s="12" t="str">
        <f t="shared" si="10"/>
        <v>'Larifrut'</v>
      </c>
      <c r="H245" t="s">
        <v>785</v>
      </c>
      <c r="I245" t="s">
        <v>654</v>
      </c>
      <c r="J245" t="str">
        <f t="shared" si="11"/>
        <v>('B03','Larifrut',1),</v>
      </c>
    </row>
    <row r="246" spans="1:10" x14ac:dyDescent="0.25">
      <c r="A246" t="s">
        <v>715</v>
      </c>
      <c r="B246" t="s">
        <v>716</v>
      </c>
      <c r="C246">
        <v>1</v>
      </c>
      <c r="E246" t="s">
        <v>784</v>
      </c>
      <c r="F246" s="12" t="str">
        <f t="shared" si="9"/>
        <v>'B03'</v>
      </c>
      <c r="G246" s="12" t="str">
        <f t="shared" si="10"/>
        <v>'Larifrut'</v>
      </c>
      <c r="H246" t="s">
        <v>785</v>
      </c>
      <c r="I246" t="s">
        <v>654</v>
      </c>
      <c r="J246" t="str">
        <f t="shared" si="11"/>
        <v>('B03','Larifrut',1),</v>
      </c>
    </row>
    <row r="247" spans="1:10" x14ac:dyDescent="0.25">
      <c r="A247" t="s">
        <v>715</v>
      </c>
      <c r="B247" t="s">
        <v>716</v>
      </c>
      <c r="C247">
        <v>1</v>
      </c>
      <c r="E247" t="s">
        <v>784</v>
      </c>
      <c r="F247" s="12" t="str">
        <f t="shared" si="9"/>
        <v>'B03'</v>
      </c>
      <c r="G247" s="12" t="str">
        <f t="shared" si="10"/>
        <v>'Larifrut'</v>
      </c>
      <c r="H247" t="s">
        <v>785</v>
      </c>
      <c r="I247" t="s">
        <v>654</v>
      </c>
      <c r="J247" t="str">
        <f t="shared" si="11"/>
        <v>('B03','Larifrut',1),</v>
      </c>
    </row>
    <row r="248" spans="1:10" x14ac:dyDescent="0.25">
      <c r="A248" t="s">
        <v>721</v>
      </c>
      <c r="B248" t="s">
        <v>722</v>
      </c>
      <c r="C248">
        <v>1</v>
      </c>
      <c r="E248" t="s">
        <v>784</v>
      </c>
      <c r="F248" s="12" t="str">
        <f t="shared" si="9"/>
        <v>'B15'</v>
      </c>
      <c r="G248" s="12" t="str">
        <f t="shared" si="10"/>
        <v>'Juan Valdivia'</v>
      </c>
      <c r="H248" t="s">
        <v>785</v>
      </c>
      <c r="I248" t="s">
        <v>654</v>
      </c>
      <c r="J248" t="str">
        <f t="shared" si="11"/>
        <v>('B15','Juan Valdivia',1),</v>
      </c>
    </row>
    <row r="249" spans="1:10" x14ac:dyDescent="0.25">
      <c r="A249" t="s">
        <v>715</v>
      </c>
      <c r="B249" t="s">
        <v>716</v>
      </c>
      <c r="C249">
        <v>1</v>
      </c>
      <c r="E249" t="s">
        <v>784</v>
      </c>
      <c r="F249" s="12" t="str">
        <f t="shared" si="9"/>
        <v>'B03'</v>
      </c>
      <c r="G249" s="12" t="str">
        <f t="shared" si="10"/>
        <v>'Larifrut'</v>
      </c>
      <c r="H249" t="s">
        <v>785</v>
      </c>
      <c r="I249" t="s">
        <v>654</v>
      </c>
      <c r="J249" t="str">
        <f t="shared" si="11"/>
        <v>('B03','Larifrut',1),</v>
      </c>
    </row>
    <row r="250" spans="1:10" x14ac:dyDescent="0.25">
      <c r="A250" t="s">
        <v>715</v>
      </c>
      <c r="B250" t="s">
        <v>716</v>
      </c>
      <c r="C250">
        <v>1</v>
      </c>
      <c r="E250" t="s">
        <v>784</v>
      </c>
      <c r="F250" s="12" t="str">
        <f t="shared" si="9"/>
        <v>'B03'</v>
      </c>
      <c r="G250" s="12" t="str">
        <f t="shared" si="10"/>
        <v>'Larifrut'</v>
      </c>
      <c r="H250" t="s">
        <v>785</v>
      </c>
      <c r="I250" t="s">
        <v>654</v>
      </c>
      <c r="J250" t="str">
        <f t="shared" si="11"/>
        <v>('B03','Larifrut',1),</v>
      </c>
    </row>
    <row r="251" spans="1:10" x14ac:dyDescent="0.25">
      <c r="A251" t="s">
        <v>777</v>
      </c>
      <c r="B251" t="s">
        <v>778</v>
      </c>
      <c r="C251">
        <v>1</v>
      </c>
      <c r="E251" t="s">
        <v>784</v>
      </c>
      <c r="F251" s="12" t="str">
        <f t="shared" si="9"/>
        <v>'B08'</v>
      </c>
      <c r="G251" s="12" t="str">
        <f t="shared" si="10"/>
        <v>'Ramon Peña'</v>
      </c>
      <c r="H251" t="s">
        <v>785</v>
      </c>
      <c r="I251" t="s">
        <v>654</v>
      </c>
      <c r="J251" t="str">
        <f t="shared" si="11"/>
        <v>('B08','Ramon Peña',1),</v>
      </c>
    </row>
    <row r="252" spans="1:10" x14ac:dyDescent="0.25">
      <c r="A252" t="s">
        <v>715</v>
      </c>
      <c r="B252" t="s">
        <v>716</v>
      </c>
      <c r="C252">
        <v>1</v>
      </c>
      <c r="E252" t="s">
        <v>784</v>
      </c>
      <c r="F252" s="12" t="str">
        <f t="shared" si="9"/>
        <v>'B03'</v>
      </c>
      <c r="G252" s="12" t="str">
        <f t="shared" si="10"/>
        <v>'Larifrut'</v>
      </c>
      <c r="H252" t="s">
        <v>785</v>
      </c>
      <c r="I252" t="s">
        <v>654</v>
      </c>
      <c r="J252" t="str">
        <f t="shared" si="11"/>
        <v>('B03','Larifrut',1),</v>
      </c>
    </row>
    <row r="253" spans="1:10" x14ac:dyDescent="0.25">
      <c r="A253" t="s">
        <v>707</v>
      </c>
      <c r="B253" t="s">
        <v>708</v>
      </c>
      <c r="C253">
        <v>1</v>
      </c>
      <c r="E253" t="s">
        <v>784</v>
      </c>
      <c r="F253" s="12" t="str">
        <f t="shared" si="9"/>
        <v>'B01'</v>
      </c>
      <c r="G253" s="12" t="str">
        <f t="shared" si="10"/>
        <v>'Ricamp'</v>
      </c>
      <c r="H253" t="s">
        <v>785</v>
      </c>
      <c r="I253" t="s">
        <v>654</v>
      </c>
      <c r="J253" t="str">
        <f t="shared" si="11"/>
        <v>('B01','Ricamp',1),</v>
      </c>
    </row>
    <row r="254" spans="1:10" x14ac:dyDescent="0.25">
      <c r="A254" t="s">
        <v>837</v>
      </c>
      <c r="B254" t="s">
        <v>838</v>
      </c>
      <c r="C254">
        <v>1</v>
      </c>
      <c r="E254" t="s">
        <v>784</v>
      </c>
      <c r="F254" s="12" t="str">
        <f t="shared" si="9"/>
        <v>'B09'</v>
      </c>
      <c r="G254" s="12" t="str">
        <f t="shared" si="10"/>
        <v>'Christian Guerrero'</v>
      </c>
      <c r="H254" t="s">
        <v>785</v>
      </c>
      <c r="I254" t="s">
        <v>654</v>
      </c>
      <c r="J254" t="str">
        <f t="shared" si="11"/>
        <v>('B09','Christian Guerrero',1),</v>
      </c>
    </row>
    <row r="255" spans="1:10" x14ac:dyDescent="0.25">
      <c r="A255" t="s">
        <v>837</v>
      </c>
      <c r="B255" t="s">
        <v>838</v>
      </c>
      <c r="C255">
        <v>1</v>
      </c>
      <c r="E255" t="s">
        <v>784</v>
      </c>
      <c r="F255" s="12" t="str">
        <f t="shared" si="9"/>
        <v>'B09'</v>
      </c>
      <c r="G255" s="12" t="str">
        <f t="shared" si="10"/>
        <v>'Christian Guerrero'</v>
      </c>
      <c r="H255" t="s">
        <v>785</v>
      </c>
      <c r="I255" t="s">
        <v>654</v>
      </c>
      <c r="J255" t="str">
        <f t="shared" si="11"/>
        <v>('B09','Christian Guerrero',1),</v>
      </c>
    </row>
    <row r="256" spans="1:10" x14ac:dyDescent="0.25">
      <c r="A256" t="s">
        <v>707</v>
      </c>
      <c r="B256" t="s">
        <v>708</v>
      </c>
      <c r="C256">
        <v>1</v>
      </c>
      <c r="E256" t="s">
        <v>784</v>
      </c>
      <c r="F256" s="12" t="str">
        <f t="shared" si="9"/>
        <v>'B01'</v>
      </c>
      <c r="G256" s="12" t="str">
        <f t="shared" si="10"/>
        <v>'Ricamp'</v>
      </c>
      <c r="H256" t="s">
        <v>785</v>
      </c>
      <c r="I256" t="s">
        <v>654</v>
      </c>
      <c r="J256" t="str">
        <f t="shared" si="11"/>
        <v>('B01','Ricamp',1),</v>
      </c>
    </row>
    <row r="257" spans="1:10" x14ac:dyDescent="0.25">
      <c r="A257" t="s">
        <v>715</v>
      </c>
      <c r="B257" t="s">
        <v>716</v>
      </c>
      <c r="C257">
        <v>1</v>
      </c>
      <c r="E257" t="s">
        <v>784</v>
      </c>
      <c r="F257" s="12" t="str">
        <f t="shared" si="9"/>
        <v>'B03'</v>
      </c>
      <c r="G257" s="12" t="str">
        <f t="shared" si="10"/>
        <v>'Larifrut'</v>
      </c>
      <c r="H257" t="s">
        <v>785</v>
      </c>
      <c r="I257" t="s">
        <v>654</v>
      </c>
      <c r="J257" t="str">
        <f t="shared" si="11"/>
        <v>('B03','Larifrut',1),</v>
      </c>
    </row>
    <row r="258" spans="1:10" x14ac:dyDescent="0.25">
      <c r="A258" t="s">
        <v>835</v>
      </c>
      <c r="B258" t="s">
        <v>836</v>
      </c>
      <c r="C258">
        <v>1</v>
      </c>
      <c r="E258" t="s">
        <v>784</v>
      </c>
      <c r="F258" s="12" t="str">
        <f t="shared" si="9"/>
        <v>'B13'</v>
      </c>
      <c r="G258" s="12" t="str">
        <f t="shared" si="10"/>
        <v>'Pedro Peña'</v>
      </c>
      <c r="H258" t="s">
        <v>785</v>
      </c>
      <c r="I258" t="s">
        <v>654</v>
      </c>
      <c r="J258" t="str">
        <f t="shared" si="11"/>
        <v>('B13','Pedro Peña',1),</v>
      </c>
    </row>
    <row r="259" spans="1:10" x14ac:dyDescent="0.25">
      <c r="A259" t="s">
        <v>715</v>
      </c>
      <c r="B259" t="s">
        <v>716</v>
      </c>
      <c r="C259">
        <v>1</v>
      </c>
      <c r="E259" t="s">
        <v>784</v>
      </c>
      <c r="F259" s="12" t="str">
        <f t="shared" ref="F259:F322" si="12">+"'"&amp;A259&amp;"'"</f>
        <v>'B03'</v>
      </c>
      <c r="G259" s="12" t="str">
        <f t="shared" ref="G259:G322" si="13">+"'"&amp;B259&amp;"'"</f>
        <v>'Larifrut'</v>
      </c>
      <c r="H259" t="s">
        <v>785</v>
      </c>
      <c r="I259" t="s">
        <v>654</v>
      </c>
      <c r="J259" t="str">
        <f t="shared" ref="J259:J322" si="14">+E259&amp;F259&amp;I259&amp;G259&amp;I259&amp;C259&amp;H259&amp;I259</f>
        <v>('B03','Larifrut',1),</v>
      </c>
    </row>
    <row r="260" spans="1:10" x14ac:dyDescent="0.25">
      <c r="A260" t="s">
        <v>707</v>
      </c>
      <c r="B260" t="s">
        <v>708</v>
      </c>
      <c r="C260">
        <v>1</v>
      </c>
      <c r="E260" t="s">
        <v>784</v>
      </c>
      <c r="F260" s="12" t="str">
        <f t="shared" si="12"/>
        <v>'B01'</v>
      </c>
      <c r="G260" s="12" t="str">
        <f t="shared" si="13"/>
        <v>'Ricamp'</v>
      </c>
      <c r="H260" t="s">
        <v>785</v>
      </c>
      <c r="I260" t="s">
        <v>654</v>
      </c>
      <c r="J260" t="str">
        <f t="shared" si="14"/>
        <v>('B01','Ricamp',1),</v>
      </c>
    </row>
    <row r="261" spans="1:10" x14ac:dyDescent="0.25">
      <c r="A261" t="s">
        <v>715</v>
      </c>
      <c r="B261" t="s">
        <v>716</v>
      </c>
      <c r="C261">
        <v>1</v>
      </c>
      <c r="E261" t="s">
        <v>784</v>
      </c>
      <c r="F261" s="12" t="str">
        <f t="shared" si="12"/>
        <v>'B03'</v>
      </c>
      <c r="G261" s="12" t="str">
        <f t="shared" si="13"/>
        <v>'Larifrut'</v>
      </c>
      <c r="H261" t="s">
        <v>785</v>
      </c>
      <c r="I261" t="s">
        <v>654</v>
      </c>
      <c r="J261" t="str">
        <f t="shared" si="14"/>
        <v>('B03','Larifrut',1),</v>
      </c>
    </row>
    <row r="262" spans="1:10" x14ac:dyDescent="0.25">
      <c r="A262" t="s">
        <v>709</v>
      </c>
      <c r="B262" t="s">
        <v>710</v>
      </c>
      <c r="C262">
        <v>1</v>
      </c>
      <c r="E262" t="s">
        <v>784</v>
      </c>
      <c r="F262" s="12" t="str">
        <f t="shared" si="12"/>
        <v>'B05'</v>
      </c>
      <c r="G262" s="12" t="str">
        <f t="shared" si="13"/>
        <v>'Maria Elena'</v>
      </c>
      <c r="H262" t="s">
        <v>785</v>
      </c>
      <c r="I262" t="s">
        <v>654</v>
      </c>
      <c r="J262" t="str">
        <f t="shared" si="14"/>
        <v>('B05','Maria Elena',1),</v>
      </c>
    </row>
    <row r="263" spans="1:10" x14ac:dyDescent="0.25">
      <c r="A263" t="s">
        <v>704</v>
      </c>
      <c r="B263" t="s">
        <v>833</v>
      </c>
      <c r="C263">
        <v>1</v>
      </c>
      <c r="E263" t="s">
        <v>784</v>
      </c>
      <c r="F263" s="12" t="str">
        <f t="shared" si="12"/>
        <v>'B07'</v>
      </c>
      <c r="G263" s="12" t="str">
        <f t="shared" si="13"/>
        <v>'Erik Viveros'</v>
      </c>
      <c r="H263" t="s">
        <v>785</v>
      </c>
      <c r="I263" t="s">
        <v>654</v>
      </c>
      <c r="J263" t="str">
        <f t="shared" si="14"/>
        <v>('B07','Erik Viveros',1),</v>
      </c>
    </row>
    <row r="264" spans="1:10" x14ac:dyDescent="0.25">
      <c r="A264" t="s">
        <v>707</v>
      </c>
      <c r="B264" t="s">
        <v>708</v>
      </c>
      <c r="C264">
        <v>1</v>
      </c>
      <c r="E264" t="s">
        <v>784</v>
      </c>
      <c r="F264" s="12" t="str">
        <f t="shared" si="12"/>
        <v>'B01'</v>
      </c>
      <c r="G264" s="12" t="str">
        <f t="shared" si="13"/>
        <v>'Ricamp'</v>
      </c>
      <c r="H264" t="s">
        <v>785</v>
      </c>
      <c r="I264" t="s">
        <v>654</v>
      </c>
      <c r="J264" t="str">
        <f t="shared" si="14"/>
        <v>('B01','Ricamp',1),</v>
      </c>
    </row>
    <row r="265" spans="1:10" x14ac:dyDescent="0.25">
      <c r="A265" t="s">
        <v>704</v>
      </c>
      <c r="B265" t="s">
        <v>833</v>
      </c>
      <c r="C265">
        <v>1</v>
      </c>
      <c r="E265" t="s">
        <v>784</v>
      </c>
      <c r="F265" s="12" t="str">
        <f t="shared" si="12"/>
        <v>'B07'</v>
      </c>
      <c r="G265" s="12" t="str">
        <f t="shared" si="13"/>
        <v>'Erik Viveros'</v>
      </c>
      <c r="H265" t="s">
        <v>785</v>
      </c>
      <c r="I265" t="s">
        <v>654</v>
      </c>
      <c r="J265" t="str">
        <f t="shared" si="14"/>
        <v>('B07','Erik Viveros',1),</v>
      </c>
    </row>
    <row r="266" spans="1:10" x14ac:dyDescent="0.25">
      <c r="A266" t="s">
        <v>713</v>
      </c>
      <c r="B266" t="s">
        <v>714</v>
      </c>
      <c r="C266">
        <v>1</v>
      </c>
      <c r="E266" t="s">
        <v>784</v>
      </c>
      <c r="F266" s="12" t="str">
        <f t="shared" si="12"/>
        <v>'B14'</v>
      </c>
      <c r="G266" s="12" t="str">
        <f t="shared" si="13"/>
        <v>'German Gomez'</v>
      </c>
      <c r="H266" t="s">
        <v>785</v>
      </c>
      <c r="I266" t="s">
        <v>654</v>
      </c>
      <c r="J266" t="str">
        <f t="shared" si="14"/>
        <v>('B14','German Gomez',1),</v>
      </c>
    </row>
    <row r="267" spans="1:10" x14ac:dyDescent="0.25">
      <c r="A267" t="s">
        <v>715</v>
      </c>
      <c r="B267" t="s">
        <v>716</v>
      </c>
      <c r="C267">
        <v>1</v>
      </c>
      <c r="E267" t="s">
        <v>784</v>
      </c>
      <c r="F267" s="12" t="str">
        <f t="shared" si="12"/>
        <v>'B03'</v>
      </c>
      <c r="G267" s="12" t="str">
        <f t="shared" si="13"/>
        <v>'Larifrut'</v>
      </c>
      <c r="H267" t="s">
        <v>785</v>
      </c>
      <c r="I267" t="s">
        <v>654</v>
      </c>
      <c r="J267" t="str">
        <f t="shared" si="14"/>
        <v>('B03','Larifrut',1),</v>
      </c>
    </row>
    <row r="268" spans="1:10" x14ac:dyDescent="0.25">
      <c r="A268" t="s">
        <v>713</v>
      </c>
      <c r="B268" t="s">
        <v>714</v>
      </c>
      <c r="C268">
        <v>1</v>
      </c>
      <c r="E268" t="s">
        <v>784</v>
      </c>
      <c r="F268" s="12" t="str">
        <f t="shared" si="12"/>
        <v>'B14'</v>
      </c>
      <c r="G268" s="12" t="str">
        <f t="shared" si="13"/>
        <v>'German Gomez'</v>
      </c>
      <c r="H268" t="s">
        <v>785</v>
      </c>
      <c r="I268" t="s">
        <v>654</v>
      </c>
      <c r="J268" t="str">
        <f t="shared" si="14"/>
        <v>('B14','German Gomez',1),</v>
      </c>
    </row>
    <row r="269" spans="1:10" x14ac:dyDescent="0.25">
      <c r="A269" t="s">
        <v>707</v>
      </c>
      <c r="B269" t="s">
        <v>708</v>
      </c>
      <c r="C269">
        <v>1</v>
      </c>
      <c r="E269" t="s">
        <v>784</v>
      </c>
      <c r="F269" s="12" t="str">
        <f t="shared" si="12"/>
        <v>'B01'</v>
      </c>
      <c r="G269" s="12" t="str">
        <f t="shared" si="13"/>
        <v>'Ricamp'</v>
      </c>
      <c r="H269" t="s">
        <v>785</v>
      </c>
      <c r="I269" t="s">
        <v>654</v>
      </c>
      <c r="J269" t="str">
        <f t="shared" si="14"/>
        <v>('B01','Ricamp',1),</v>
      </c>
    </row>
    <row r="270" spans="1:10" x14ac:dyDescent="0.25">
      <c r="A270" t="s">
        <v>707</v>
      </c>
      <c r="B270" t="s">
        <v>708</v>
      </c>
      <c r="C270">
        <v>1</v>
      </c>
      <c r="E270" t="s">
        <v>784</v>
      </c>
      <c r="F270" s="12" t="str">
        <f t="shared" si="12"/>
        <v>'B01'</v>
      </c>
      <c r="G270" s="12" t="str">
        <f t="shared" si="13"/>
        <v>'Ricamp'</v>
      </c>
      <c r="H270" t="s">
        <v>785</v>
      </c>
      <c r="I270" t="s">
        <v>654</v>
      </c>
      <c r="J270" t="str">
        <f t="shared" si="14"/>
        <v>('B01','Ricamp',1),</v>
      </c>
    </row>
    <row r="271" spans="1:10" x14ac:dyDescent="0.25">
      <c r="A271" t="s">
        <v>711</v>
      </c>
      <c r="B271" t="s">
        <v>712</v>
      </c>
      <c r="C271">
        <v>1</v>
      </c>
      <c r="E271" t="s">
        <v>784</v>
      </c>
      <c r="F271" s="12" t="str">
        <f t="shared" si="12"/>
        <v>'B02'</v>
      </c>
      <c r="G271" s="12" t="str">
        <f t="shared" si="13"/>
        <v>'Ochoa'</v>
      </c>
      <c r="H271" t="s">
        <v>785</v>
      </c>
      <c r="I271" t="s">
        <v>654</v>
      </c>
      <c r="J271" t="str">
        <f t="shared" si="14"/>
        <v>('B02','Ochoa',1),</v>
      </c>
    </row>
    <row r="272" spans="1:10" x14ac:dyDescent="0.25">
      <c r="A272" t="s">
        <v>741</v>
      </c>
      <c r="B272" t="s">
        <v>742</v>
      </c>
      <c r="C272">
        <v>1</v>
      </c>
      <c r="E272" t="s">
        <v>784</v>
      </c>
      <c r="F272" s="12" t="str">
        <f t="shared" si="12"/>
        <v>'B04'</v>
      </c>
      <c r="G272" s="12" t="str">
        <f t="shared" si="13"/>
        <v>'Banamac'</v>
      </c>
      <c r="H272" t="s">
        <v>785</v>
      </c>
      <c r="I272" t="s">
        <v>654</v>
      </c>
      <c r="J272" t="str">
        <f t="shared" si="14"/>
        <v>('B04','Banamac',1),</v>
      </c>
    </row>
    <row r="273" spans="1:10" x14ac:dyDescent="0.25">
      <c r="A273" t="s">
        <v>715</v>
      </c>
      <c r="B273" t="s">
        <v>716</v>
      </c>
      <c r="C273">
        <v>1</v>
      </c>
      <c r="E273" t="s">
        <v>784</v>
      </c>
      <c r="F273" s="12" t="str">
        <f t="shared" si="12"/>
        <v>'B03'</v>
      </c>
      <c r="G273" s="12" t="str">
        <f t="shared" si="13"/>
        <v>'Larifrut'</v>
      </c>
      <c r="H273" t="s">
        <v>785</v>
      </c>
      <c r="I273" t="s">
        <v>654</v>
      </c>
      <c r="J273" t="str">
        <f t="shared" si="14"/>
        <v>('B03','Larifrut',1),</v>
      </c>
    </row>
    <row r="274" spans="1:10" x14ac:dyDescent="0.25">
      <c r="A274" t="s">
        <v>717</v>
      </c>
      <c r="B274" t="s">
        <v>718</v>
      </c>
      <c r="C274">
        <v>1</v>
      </c>
      <c r="E274" t="s">
        <v>784</v>
      </c>
      <c r="F274" s="12" t="str">
        <f t="shared" si="12"/>
        <v>'B20'</v>
      </c>
      <c r="G274" s="12" t="str">
        <f t="shared" si="13"/>
        <v>'Jorge Garcia'</v>
      </c>
      <c r="H274" t="s">
        <v>785</v>
      </c>
      <c r="I274" t="s">
        <v>654</v>
      </c>
      <c r="J274" t="str">
        <f t="shared" si="14"/>
        <v>('B20','Jorge Garcia',1),</v>
      </c>
    </row>
    <row r="275" spans="1:10" x14ac:dyDescent="0.25">
      <c r="A275" t="s">
        <v>713</v>
      </c>
      <c r="B275" t="s">
        <v>714</v>
      </c>
      <c r="C275">
        <v>1</v>
      </c>
      <c r="E275" t="s">
        <v>784</v>
      </c>
      <c r="F275" s="12" t="str">
        <f t="shared" si="12"/>
        <v>'B14'</v>
      </c>
      <c r="G275" s="12" t="str">
        <f t="shared" si="13"/>
        <v>'German Gomez'</v>
      </c>
      <c r="H275" t="s">
        <v>785</v>
      </c>
      <c r="I275" t="s">
        <v>654</v>
      </c>
      <c r="J275" t="str">
        <f t="shared" si="14"/>
        <v>('B14','German Gomez',1),</v>
      </c>
    </row>
    <row r="276" spans="1:10" x14ac:dyDescent="0.25">
      <c r="A276" t="s">
        <v>713</v>
      </c>
      <c r="B276" t="s">
        <v>714</v>
      </c>
      <c r="C276">
        <v>1</v>
      </c>
      <c r="E276" t="s">
        <v>784</v>
      </c>
      <c r="F276" s="12" t="str">
        <f t="shared" si="12"/>
        <v>'B14'</v>
      </c>
      <c r="G276" s="12" t="str">
        <f t="shared" si="13"/>
        <v>'German Gomez'</v>
      </c>
      <c r="H276" t="s">
        <v>785</v>
      </c>
      <c r="I276" t="s">
        <v>654</v>
      </c>
      <c r="J276" t="str">
        <f t="shared" si="14"/>
        <v>('B14','German Gomez',1),</v>
      </c>
    </row>
    <row r="277" spans="1:10" x14ac:dyDescent="0.25">
      <c r="A277" t="s">
        <v>715</v>
      </c>
      <c r="B277" t="s">
        <v>716</v>
      </c>
      <c r="C277">
        <v>1</v>
      </c>
      <c r="E277" t="s">
        <v>784</v>
      </c>
      <c r="F277" s="12" t="str">
        <f t="shared" si="12"/>
        <v>'B03'</v>
      </c>
      <c r="G277" s="12" t="str">
        <f t="shared" si="13"/>
        <v>'Larifrut'</v>
      </c>
      <c r="H277" t="s">
        <v>785</v>
      </c>
      <c r="I277" t="s">
        <v>654</v>
      </c>
      <c r="J277" t="str">
        <f t="shared" si="14"/>
        <v>('B03','Larifrut',1),</v>
      </c>
    </row>
    <row r="278" spans="1:10" x14ac:dyDescent="0.25">
      <c r="A278" t="s">
        <v>715</v>
      </c>
      <c r="B278" t="s">
        <v>716</v>
      </c>
      <c r="C278">
        <v>1</v>
      </c>
      <c r="E278" t="s">
        <v>784</v>
      </c>
      <c r="F278" s="12" t="str">
        <f t="shared" si="12"/>
        <v>'B03'</v>
      </c>
      <c r="G278" s="12" t="str">
        <f t="shared" si="13"/>
        <v>'Larifrut'</v>
      </c>
      <c r="H278" t="s">
        <v>785</v>
      </c>
      <c r="I278" t="s">
        <v>654</v>
      </c>
      <c r="J278" t="str">
        <f t="shared" si="14"/>
        <v>('B03','Larifrut',1),</v>
      </c>
    </row>
    <row r="279" spans="1:10" x14ac:dyDescent="0.25">
      <c r="A279" t="s">
        <v>721</v>
      </c>
      <c r="B279" t="s">
        <v>722</v>
      </c>
      <c r="C279">
        <v>1</v>
      </c>
      <c r="E279" t="s">
        <v>784</v>
      </c>
      <c r="F279" s="12" t="str">
        <f t="shared" si="12"/>
        <v>'B15'</v>
      </c>
      <c r="G279" s="12" t="str">
        <f t="shared" si="13"/>
        <v>'Juan Valdivia'</v>
      </c>
      <c r="H279" t="s">
        <v>785</v>
      </c>
      <c r="I279" t="s">
        <v>654</v>
      </c>
      <c r="J279" t="str">
        <f t="shared" si="14"/>
        <v>('B15','Juan Valdivia',1),</v>
      </c>
    </row>
    <row r="280" spans="1:10" x14ac:dyDescent="0.25">
      <c r="C280">
        <v>1</v>
      </c>
      <c r="E280" t="s">
        <v>784</v>
      </c>
      <c r="F280" s="12" t="str">
        <f t="shared" si="12"/>
        <v>''</v>
      </c>
      <c r="G280" s="12" t="str">
        <f t="shared" si="13"/>
        <v>''</v>
      </c>
      <c r="H280" t="s">
        <v>785</v>
      </c>
      <c r="I280" t="s">
        <v>654</v>
      </c>
      <c r="J280" t="str">
        <f t="shared" si="14"/>
        <v>('','',1),</v>
      </c>
    </row>
    <row r="281" spans="1:10" x14ac:dyDescent="0.25">
      <c r="A281" t="s">
        <v>704</v>
      </c>
      <c r="B281" t="s">
        <v>833</v>
      </c>
      <c r="C281">
        <v>1</v>
      </c>
      <c r="E281" t="s">
        <v>784</v>
      </c>
      <c r="F281" s="12" t="str">
        <f t="shared" si="12"/>
        <v>'B07'</v>
      </c>
      <c r="G281" s="12" t="str">
        <f t="shared" si="13"/>
        <v>'Erik Viveros'</v>
      </c>
      <c r="H281" t="s">
        <v>785</v>
      </c>
      <c r="I281" t="s">
        <v>654</v>
      </c>
      <c r="J281" t="str">
        <f t="shared" si="14"/>
        <v>('B07','Erik Viveros',1),</v>
      </c>
    </row>
    <row r="282" spans="1:10" x14ac:dyDescent="0.25">
      <c r="A282" t="s">
        <v>707</v>
      </c>
      <c r="B282" t="s">
        <v>708</v>
      </c>
      <c r="C282">
        <v>1</v>
      </c>
      <c r="E282" t="s">
        <v>784</v>
      </c>
      <c r="F282" s="12" t="str">
        <f t="shared" si="12"/>
        <v>'B01'</v>
      </c>
      <c r="G282" s="12" t="str">
        <f t="shared" si="13"/>
        <v>'Ricamp'</v>
      </c>
      <c r="H282" t="s">
        <v>785</v>
      </c>
      <c r="I282" t="s">
        <v>654</v>
      </c>
      <c r="J282" t="str">
        <f t="shared" si="14"/>
        <v>('B01','Ricamp',1),</v>
      </c>
    </row>
    <row r="283" spans="1:10" x14ac:dyDescent="0.25">
      <c r="A283" t="s">
        <v>704</v>
      </c>
      <c r="B283" t="s">
        <v>833</v>
      </c>
      <c r="C283">
        <v>1</v>
      </c>
      <c r="E283" t="s">
        <v>784</v>
      </c>
      <c r="F283" s="12" t="str">
        <f t="shared" si="12"/>
        <v>'B07'</v>
      </c>
      <c r="G283" s="12" t="str">
        <f t="shared" si="13"/>
        <v>'Erik Viveros'</v>
      </c>
      <c r="H283" t="s">
        <v>785</v>
      </c>
      <c r="I283" t="s">
        <v>654</v>
      </c>
      <c r="J283" t="str">
        <f t="shared" si="14"/>
        <v>('B07','Erik Viveros',1),</v>
      </c>
    </row>
    <row r="284" spans="1:10" x14ac:dyDescent="0.25">
      <c r="A284" t="s">
        <v>711</v>
      </c>
      <c r="B284" t="s">
        <v>712</v>
      </c>
      <c r="C284">
        <v>1</v>
      </c>
      <c r="E284" t="s">
        <v>784</v>
      </c>
      <c r="F284" s="12" t="str">
        <f t="shared" si="12"/>
        <v>'B02'</v>
      </c>
      <c r="G284" s="12" t="str">
        <f t="shared" si="13"/>
        <v>'Ochoa'</v>
      </c>
      <c r="H284" t="s">
        <v>785</v>
      </c>
      <c r="I284" t="s">
        <v>654</v>
      </c>
      <c r="J284" t="str">
        <f t="shared" si="14"/>
        <v>('B02','Ochoa',1),</v>
      </c>
    </row>
    <row r="285" spans="1:10" x14ac:dyDescent="0.25">
      <c r="A285" t="s">
        <v>835</v>
      </c>
      <c r="B285" t="s">
        <v>836</v>
      </c>
      <c r="C285">
        <v>1</v>
      </c>
      <c r="E285" t="s">
        <v>784</v>
      </c>
      <c r="F285" s="12" t="str">
        <f t="shared" si="12"/>
        <v>'B13'</v>
      </c>
      <c r="G285" s="12" t="str">
        <f t="shared" si="13"/>
        <v>'Pedro Peña'</v>
      </c>
      <c r="H285" t="s">
        <v>785</v>
      </c>
      <c r="I285" t="s">
        <v>654</v>
      </c>
      <c r="J285" t="str">
        <f t="shared" si="14"/>
        <v>('B13','Pedro Peña',1),</v>
      </c>
    </row>
    <row r="286" spans="1:10" x14ac:dyDescent="0.25">
      <c r="A286" t="s">
        <v>717</v>
      </c>
      <c r="B286" t="s">
        <v>718</v>
      </c>
      <c r="C286">
        <v>1</v>
      </c>
      <c r="E286" t="s">
        <v>784</v>
      </c>
      <c r="F286" s="12" t="str">
        <f t="shared" si="12"/>
        <v>'B20'</v>
      </c>
      <c r="G286" s="12" t="str">
        <f t="shared" si="13"/>
        <v>'Jorge Garcia'</v>
      </c>
      <c r="H286" t="s">
        <v>785</v>
      </c>
      <c r="I286" t="s">
        <v>654</v>
      </c>
      <c r="J286" t="str">
        <f t="shared" si="14"/>
        <v>('B20','Jorge Garcia',1),</v>
      </c>
    </row>
    <row r="287" spans="1:10" x14ac:dyDescent="0.25">
      <c r="A287" t="s">
        <v>721</v>
      </c>
      <c r="B287" t="s">
        <v>722</v>
      </c>
      <c r="C287">
        <v>1</v>
      </c>
      <c r="E287" t="s">
        <v>784</v>
      </c>
      <c r="F287" s="12" t="str">
        <f t="shared" si="12"/>
        <v>'B15'</v>
      </c>
      <c r="G287" s="12" t="str">
        <f t="shared" si="13"/>
        <v>'Juan Valdivia'</v>
      </c>
      <c r="H287" t="s">
        <v>785</v>
      </c>
      <c r="I287" t="s">
        <v>654</v>
      </c>
      <c r="J287" t="str">
        <f t="shared" si="14"/>
        <v>('B15','Juan Valdivia',1),</v>
      </c>
    </row>
    <row r="288" spans="1:10" x14ac:dyDescent="0.25">
      <c r="A288" t="s">
        <v>711</v>
      </c>
      <c r="B288" t="s">
        <v>712</v>
      </c>
      <c r="C288">
        <v>1</v>
      </c>
      <c r="E288" t="s">
        <v>784</v>
      </c>
      <c r="F288" s="12" t="str">
        <f t="shared" si="12"/>
        <v>'B02'</v>
      </c>
      <c r="G288" s="12" t="str">
        <f t="shared" si="13"/>
        <v>'Ochoa'</v>
      </c>
      <c r="H288" t="s">
        <v>785</v>
      </c>
      <c r="I288" t="s">
        <v>654</v>
      </c>
      <c r="J288" t="str">
        <f t="shared" si="14"/>
        <v>('B02','Ochoa',1),</v>
      </c>
    </row>
    <row r="289" spans="1:10" x14ac:dyDescent="0.25">
      <c r="A289" t="s">
        <v>713</v>
      </c>
      <c r="B289" t="s">
        <v>714</v>
      </c>
      <c r="C289">
        <v>1</v>
      </c>
      <c r="E289" t="s">
        <v>784</v>
      </c>
      <c r="F289" s="12" t="str">
        <f t="shared" si="12"/>
        <v>'B14'</v>
      </c>
      <c r="G289" s="12" t="str">
        <f t="shared" si="13"/>
        <v>'German Gomez'</v>
      </c>
      <c r="H289" t="s">
        <v>785</v>
      </c>
      <c r="I289" t="s">
        <v>654</v>
      </c>
      <c r="J289" t="str">
        <f t="shared" si="14"/>
        <v>('B14','German Gomez',1),</v>
      </c>
    </row>
    <row r="290" spans="1:10" x14ac:dyDescent="0.25">
      <c r="A290" t="s">
        <v>707</v>
      </c>
      <c r="B290" t="s">
        <v>708</v>
      </c>
      <c r="C290">
        <v>1</v>
      </c>
      <c r="E290" t="s">
        <v>784</v>
      </c>
      <c r="F290" s="12" t="str">
        <f t="shared" si="12"/>
        <v>'B01'</v>
      </c>
      <c r="G290" s="12" t="str">
        <f t="shared" si="13"/>
        <v>'Ricamp'</v>
      </c>
      <c r="H290" t="s">
        <v>785</v>
      </c>
      <c r="I290" t="s">
        <v>654</v>
      </c>
      <c r="J290" t="str">
        <f t="shared" si="14"/>
        <v>('B01','Ricamp',1),</v>
      </c>
    </row>
    <row r="291" spans="1:10" x14ac:dyDescent="0.25">
      <c r="A291" t="s">
        <v>715</v>
      </c>
      <c r="B291" t="s">
        <v>716</v>
      </c>
      <c r="C291">
        <v>1</v>
      </c>
      <c r="E291" t="s">
        <v>784</v>
      </c>
      <c r="F291" s="12" t="str">
        <f t="shared" si="12"/>
        <v>'B03'</v>
      </c>
      <c r="G291" s="12" t="str">
        <f t="shared" si="13"/>
        <v>'Larifrut'</v>
      </c>
      <c r="H291" t="s">
        <v>785</v>
      </c>
      <c r="I291" t="s">
        <v>654</v>
      </c>
      <c r="J291" t="str">
        <f t="shared" si="14"/>
        <v>('B03','Larifrut',1),</v>
      </c>
    </row>
    <row r="292" spans="1:10" x14ac:dyDescent="0.25">
      <c r="A292" t="s">
        <v>707</v>
      </c>
      <c r="B292" t="s">
        <v>708</v>
      </c>
      <c r="C292">
        <v>1</v>
      </c>
      <c r="E292" t="s">
        <v>784</v>
      </c>
      <c r="F292" s="12" t="str">
        <f t="shared" si="12"/>
        <v>'B01'</v>
      </c>
      <c r="G292" s="12" t="str">
        <f t="shared" si="13"/>
        <v>'Ricamp'</v>
      </c>
      <c r="H292" t="s">
        <v>785</v>
      </c>
      <c r="I292" t="s">
        <v>654</v>
      </c>
      <c r="J292" t="str">
        <f t="shared" si="14"/>
        <v>('B01','Ricamp',1),</v>
      </c>
    </row>
    <row r="293" spans="1:10" x14ac:dyDescent="0.25">
      <c r="A293" t="s">
        <v>715</v>
      </c>
      <c r="B293" t="s">
        <v>716</v>
      </c>
      <c r="C293">
        <v>1</v>
      </c>
      <c r="E293" t="s">
        <v>784</v>
      </c>
      <c r="F293" s="12" t="str">
        <f t="shared" si="12"/>
        <v>'B03'</v>
      </c>
      <c r="G293" s="12" t="str">
        <f t="shared" si="13"/>
        <v>'Larifrut'</v>
      </c>
      <c r="H293" t="s">
        <v>785</v>
      </c>
      <c r="I293" t="s">
        <v>654</v>
      </c>
      <c r="J293" t="str">
        <f t="shared" si="14"/>
        <v>('B03','Larifrut',1),</v>
      </c>
    </row>
    <row r="294" spans="1:10" x14ac:dyDescent="0.25">
      <c r="A294" t="s">
        <v>709</v>
      </c>
      <c r="B294" t="s">
        <v>710</v>
      </c>
      <c r="C294">
        <v>1</v>
      </c>
      <c r="E294" t="s">
        <v>784</v>
      </c>
      <c r="F294" s="12" t="str">
        <f t="shared" si="12"/>
        <v>'B05'</v>
      </c>
      <c r="G294" s="12" t="str">
        <f t="shared" si="13"/>
        <v>'Maria Elena'</v>
      </c>
      <c r="H294" t="s">
        <v>785</v>
      </c>
      <c r="I294" t="s">
        <v>654</v>
      </c>
      <c r="J294" t="str">
        <f t="shared" si="14"/>
        <v>('B05','Maria Elena',1),</v>
      </c>
    </row>
    <row r="295" spans="1:10" x14ac:dyDescent="0.25">
      <c r="A295" t="s">
        <v>705</v>
      </c>
      <c r="B295" t="s">
        <v>706</v>
      </c>
      <c r="C295">
        <v>1</v>
      </c>
      <c r="E295" t="s">
        <v>784</v>
      </c>
      <c r="F295" s="12" t="str">
        <f t="shared" si="12"/>
        <v>'B12'</v>
      </c>
      <c r="G295" s="12" t="str">
        <f t="shared" si="13"/>
        <v>'Ramon Larios'</v>
      </c>
      <c r="H295" t="s">
        <v>785</v>
      </c>
      <c r="I295" t="s">
        <v>654</v>
      </c>
      <c r="J295" t="str">
        <f t="shared" si="14"/>
        <v>('B12','Ramon Larios',1),</v>
      </c>
    </row>
    <row r="296" spans="1:10" x14ac:dyDescent="0.25">
      <c r="A296" t="s">
        <v>715</v>
      </c>
      <c r="B296" t="s">
        <v>716</v>
      </c>
      <c r="C296">
        <v>1</v>
      </c>
      <c r="E296" t="s">
        <v>784</v>
      </c>
      <c r="F296" s="12" t="str">
        <f t="shared" si="12"/>
        <v>'B03'</v>
      </c>
      <c r="G296" s="12" t="str">
        <f t="shared" si="13"/>
        <v>'Larifrut'</v>
      </c>
      <c r="H296" t="s">
        <v>785</v>
      </c>
      <c r="I296" t="s">
        <v>654</v>
      </c>
      <c r="J296" t="str">
        <f t="shared" si="14"/>
        <v>('B03','Larifrut',1),</v>
      </c>
    </row>
    <row r="297" spans="1:10" x14ac:dyDescent="0.25">
      <c r="A297" t="s">
        <v>709</v>
      </c>
      <c r="B297" t="s">
        <v>710</v>
      </c>
      <c r="C297">
        <v>1</v>
      </c>
      <c r="E297" t="s">
        <v>784</v>
      </c>
      <c r="F297" s="12" t="str">
        <f t="shared" si="12"/>
        <v>'B05'</v>
      </c>
      <c r="G297" s="12" t="str">
        <f t="shared" si="13"/>
        <v>'Maria Elena'</v>
      </c>
      <c r="H297" t="s">
        <v>785</v>
      </c>
      <c r="I297" t="s">
        <v>654</v>
      </c>
      <c r="J297" t="str">
        <f t="shared" si="14"/>
        <v>('B05','Maria Elena',1),</v>
      </c>
    </row>
    <row r="298" spans="1:10" x14ac:dyDescent="0.25">
      <c r="A298" t="s">
        <v>711</v>
      </c>
      <c r="B298" t="s">
        <v>712</v>
      </c>
      <c r="C298">
        <v>1</v>
      </c>
      <c r="E298" t="s">
        <v>784</v>
      </c>
      <c r="F298" s="12" t="str">
        <f t="shared" si="12"/>
        <v>'B02'</v>
      </c>
      <c r="G298" s="12" t="str">
        <f t="shared" si="13"/>
        <v>'Ochoa'</v>
      </c>
      <c r="H298" t="s">
        <v>785</v>
      </c>
      <c r="I298" t="s">
        <v>654</v>
      </c>
      <c r="J298" t="str">
        <f t="shared" si="14"/>
        <v>('B02','Ochoa',1),</v>
      </c>
    </row>
    <row r="299" spans="1:10" x14ac:dyDescent="0.25">
      <c r="A299" t="s">
        <v>704</v>
      </c>
      <c r="B299" t="s">
        <v>833</v>
      </c>
      <c r="C299">
        <v>1</v>
      </c>
      <c r="E299" t="s">
        <v>784</v>
      </c>
      <c r="F299" s="12" t="str">
        <f t="shared" si="12"/>
        <v>'B07'</v>
      </c>
      <c r="G299" s="12" t="str">
        <f t="shared" si="13"/>
        <v>'Erik Viveros'</v>
      </c>
      <c r="H299" t="s">
        <v>785</v>
      </c>
      <c r="I299" t="s">
        <v>654</v>
      </c>
      <c r="J299" t="str">
        <f t="shared" si="14"/>
        <v>('B07','Erik Viveros',1),</v>
      </c>
    </row>
    <row r="300" spans="1:10" x14ac:dyDescent="0.25">
      <c r="A300" t="s">
        <v>709</v>
      </c>
      <c r="B300" t="s">
        <v>710</v>
      </c>
      <c r="C300">
        <v>1</v>
      </c>
      <c r="E300" t="s">
        <v>784</v>
      </c>
      <c r="F300" s="12" t="str">
        <f t="shared" si="12"/>
        <v>'B05'</v>
      </c>
      <c r="G300" s="12" t="str">
        <f t="shared" si="13"/>
        <v>'Maria Elena'</v>
      </c>
      <c r="H300" t="s">
        <v>785</v>
      </c>
      <c r="I300" t="s">
        <v>654</v>
      </c>
      <c r="J300" t="str">
        <f t="shared" si="14"/>
        <v>('B05','Maria Elena',1),</v>
      </c>
    </row>
    <row r="301" spans="1:10" x14ac:dyDescent="0.25">
      <c r="A301" t="s">
        <v>721</v>
      </c>
      <c r="B301" t="s">
        <v>722</v>
      </c>
      <c r="C301">
        <v>1</v>
      </c>
      <c r="E301" t="s">
        <v>784</v>
      </c>
      <c r="F301" s="12" t="str">
        <f t="shared" si="12"/>
        <v>'B15'</v>
      </c>
      <c r="G301" s="12" t="str">
        <f t="shared" si="13"/>
        <v>'Juan Valdivia'</v>
      </c>
      <c r="H301" t="s">
        <v>785</v>
      </c>
      <c r="I301" t="s">
        <v>654</v>
      </c>
      <c r="J301" t="str">
        <f t="shared" si="14"/>
        <v>('B15','Juan Valdivia',1),</v>
      </c>
    </row>
    <row r="302" spans="1:10" x14ac:dyDescent="0.25">
      <c r="A302" t="s">
        <v>704</v>
      </c>
      <c r="B302" t="s">
        <v>833</v>
      </c>
      <c r="C302">
        <v>1</v>
      </c>
      <c r="E302" t="s">
        <v>784</v>
      </c>
      <c r="F302" s="12" t="str">
        <f t="shared" si="12"/>
        <v>'B07'</v>
      </c>
      <c r="G302" s="12" t="str">
        <f t="shared" si="13"/>
        <v>'Erik Viveros'</v>
      </c>
      <c r="H302" t="s">
        <v>785</v>
      </c>
      <c r="I302" t="s">
        <v>654</v>
      </c>
      <c r="J302" t="str">
        <f t="shared" si="14"/>
        <v>('B07','Erik Viveros',1),</v>
      </c>
    </row>
    <row r="303" spans="1:10" x14ac:dyDescent="0.25">
      <c r="A303" t="s">
        <v>704</v>
      </c>
      <c r="B303" t="s">
        <v>833</v>
      </c>
      <c r="C303">
        <v>1</v>
      </c>
      <c r="E303" t="s">
        <v>784</v>
      </c>
      <c r="F303" s="12" t="str">
        <f t="shared" si="12"/>
        <v>'B07'</v>
      </c>
      <c r="G303" s="12" t="str">
        <f t="shared" si="13"/>
        <v>'Erik Viveros'</v>
      </c>
      <c r="H303" t="s">
        <v>785</v>
      </c>
      <c r="I303" t="s">
        <v>654</v>
      </c>
      <c r="J303" t="str">
        <f t="shared" si="14"/>
        <v>('B07','Erik Viveros',1),</v>
      </c>
    </row>
    <row r="304" spans="1:10" x14ac:dyDescent="0.25">
      <c r="A304" t="s">
        <v>704</v>
      </c>
      <c r="B304" t="s">
        <v>833</v>
      </c>
      <c r="C304">
        <v>1</v>
      </c>
      <c r="E304" t="s">
        <v>784</v>
      </c>
      <c r="F304" s="12" t="str">
        <f t="shared" si="12"/>
        <v>'B07'</v>
      </c>
      <c r="G304" s="12" t="str">
        <f t="shared" si="13"/>
        <v>'Erik Viveros'</v>
      </c>
      <c r="H304" t="s">
        <v>785</v>
      </c>
      <c r="I304" t="s">
        <v>654</v>
      </c>
      <c r="J304" t="str">
        <f t="shared" si="14"/>
        <v>('B07','Erik Viveros',1),</v>
      </c>
    </row>
    <row r="305" spans="1:10" x14ac:dyDescent="0.25">
      <c r="A305" t="s">
        <v>704</v>
      </c>
      <c r="B305" t="s">
        <v>833</v>
      </c>
      <c r="C305">
        <v>1</v>
      </c>
      <c r="E305" t="s">
        <v>784</v>
      </c>
      <c r="F305" s="12" t="str">
        <f t="shared" si="12"/>
        <v>'B07'</v>
      </c>
      <c r="G305" s="12" t="str">
        <f t="shared" si="13"/>
        <v>'Erik Viveros'</v>
      </c>
      <c r="H305" t="s">
        <v>785</v>
      </c>
      <c r="I305" t="s">
        <v>654</v>
      </c>
      <c r="J305" t="str">
        <f t="shared" si="14"/>
        <v>('B07','Erik Viveros',1),</v>
      </c>
    </row>
    <row r="306" spans="1:10" x14ac:dyDescent="0.25">
      <c r="A306" t="s">
        <v>839</v>
      </c>
      <c r="B306" t="s">
        <v>840</v>
      </c>
      <c r="C306">
        <v>1</v>
      </c>
      <c r="E306" t="s">
        <v>784</v>
      </c>
      <c r="F306" s="12" t="str">
        <f t="shared" si="12"/>
        <v>'B18'</v>
      </c>
      <c r="G306" s="12" t="str">
        <f t="shared" si="13"/>
        <v>'Sebastian Ochoa'</v>
      </c>
      <c r="H306" t="s">
        <v>785</v>
      </c>
      <c r="I306" t="s">
        <v>654</v>
      </c>
      <c r="J306" t="str">
        <f t="shared" si="14"/>
        <v>('B18','Sebastian Ochoa',1),</v>
      </c>
    </row>
    <row r="307" spans="1:10" x14ac:dyDescent="0.25">
      <c r="A307" t="s">
        <v>708</v>
      </c>
      <c r="B307" t="s">
        <v>841</v>
      </c>
      <c r="C307">
        <v>1</v>
      </c>
      <c r="E307" t="s">
        <v>784</v>
      </c>
      <c r="F307" s="12" t="str">
        <f t="shared" si="12"/>
        <v>'Ricamp'</v>
      </c>
      <c r="G307" s="12" t="str">
        <f t="shared" si="13"/>
        <v>'Coahuayana Michoacan'</v>
      </c>
      <c r="H307" t="s">
        <v>785</v>
      </c>
      <c r="I307" t="s">
        <v>654</v>
      </c>
      <c r="J307" t="str">
        <f t="shared" si="14"/>
        <v>('Ricamp','Coahuayana Michoacan',1),</v>
      </c>
    </row>
    <row r="308" spans="1:10" x14ac:dyDescent="0.25">
      <c r="A308" t="s">
        <v>707</v>
      </c>
      <c r="B308" t="s">
        <v>708</v>
      </c>
      <c r="C308">
        <v>1</v>
      </c>
      <c r="E308" t="s">
        <v>784</v>
      </c>
      <c r="F308" s="12" t="str">
        <f t="shared" si="12"/>
        <v>'B01'</v>
      </c>
      <c r="G308" s="12" t="str">
        <f t="shared" si="13"/>
        <v>'Ricamp'</v>
      </c>
      <c r="H308" t="s">
        <v>785</v>
      </c>
      <c r="I308" t="s">
        <v>654</v>
      </c>
      <c r="J308" t="str">
        <f t="shared" si="14"/>
        <v>('B01','Ricamp',1),</v>
      </c>
    </row>
    <row r="309" spans="1:10" x14ac:dyDescent="0.25">
      <c r="A309" t="s">
        <v>707</v>
      </c>
      <c r="B309" t="s">
        <v>708</v>
      </c>
      <c r="C309">
        <v>1</v>
      </c>
      <c r="E309" t="s">
        <v>784</v>
      </c>
      <c r="F309" s="12" t="str">
        <f t="shared" si="12"/>
        <v>'B01'</v>
      </c>
      <c r="G309" s="12" t="str">
        <f t="shared" si="13"/>
        <v>'Ricamp'</v>
      </c>
      <c r="H309" t="s">
        <v>785</v>
      </c>
      <c r="I309" t="s">
        <v>654</v>
      </c>
      <c r="J309" t="str">
        <f t="shared" si="14"/>
        <v>('B01','Ricamp',1),</v>
      </c>
    </row>
    <row r="310" spans="1:10" x14ac:dyDescent="0.25">
      <c r="A310" t="s">
        <v>721</v>
      </c>
      <c r="B310" t="s">
        <v>722</v>
      </c>
      <c r="C310">
        <v>1</v>
      </c>
      <c r="E310" t="s">
        <v>784</v>
      </c>
      <c r="F310" s="12" t="str">
        <f t="shared" si="12"/>
        <v>'B15'</v>
      </c>
      <c r="G310" s="12" t="str">
        <f t="shared" si="13"/>
        <v>'Juan Valdivia'</v>
      </c>
      <c r="H310" t="s">
        <v>785</v>
      </c>
      <c r="I310" t="s">
        <v>654</v>
      </c>
      <c r="J310" t="str">
        <f t="shared" si="14"/>
        <v>('B15','Juan Valdivia',1),</v>
      </c>
    </row>
    <row r="311" spans="1:10" x14ac:dyDescent="0.25">
      <c r="A311" t="s">
        <v>715</v>
      </c>
      <c r="B311" t="s">
        <v>716</v>
      </c>
      <c r="C311">
        <v>1</v>
      </c>
      <c r="E311" t="s">
        <v>784</v>
      </c>
      <c r="F311" s="12" t="str">
        <f t="shared" si="12"/>
        <v>'B03'</v>
      </c>
      <c r="G311" s="12" t="str">
        <f t="shared" si="13"/>
        <v>'Larifrut'</v>
      </c>
      <c r="H311" t="s">
        <v>785</v>
      </c>
      <c r="I311" t="s">
        <v>654</v>
      </c>
      <c r="J311" t="str">
        <f t="shared" si="14"/>
        <v>('B03','Larifrut',1),</v>
      </c>
    </row>
    <row r="312" spans="1:10" x14ac:dyDescent="0.25">
      <c r="A312" t="s">
        <v>704</v>
      </c>
      <c r="B312" t="s">
        <v>833</v>
      </c>
      <c r="C312">
        <v>1</v>
      </c>
      <c r="E312" t="s">
        <v>784</v>
      </c>
      <c r="F312" s="12" t="str">
        <f t="shared" si="12"/>
        <v>'B07'</v>
      </c>
      <c r="G312" s="12" t="str">
        <f t="shared" si="13"/>
        <v>'Erik Viveros'</v>
      </c>
      <c r="H312" t="s">
        <v>785</v>
      </c>
      <c r="I312" t="s">
        <v>654</v>
      </c>
      <c r="J312" t="str">
        <f t="shared" si="14"/>
        <v>('B07','Erik Viveros',1),</v>
      </c>
    </row>
    <row r="313" spans="1:10" x14ac:dyDescent="0.25">
      <c r="A313" t="s">
        <v>707</v>
      </c>
      <c r="B313" t="s">
        <v>708</v>
      </c>
      <c r="C313">
        <v>1</v>
      </c>
      <c r="E313" t="s">
        <v>784</v>
      </c>
      <c r="F313" s="12" t="str">
        <f t="shared" si="12"/>
        <v>'B01'</v>
      </c>
      <c r="G313" s="12" t="str">
        <f t="shared" si="13"/>
        <v>'Ricamp'</v>
      </c>
      <c r="H313" t="s">
        <v>785</v>
      </c>
      <c r="I313" t="s">
        <v>654</v>
      </c>
      <c r="J313" t="str">
        <f t="shared" si="14"/>
        <v>('B01','Ricamp',1),</v>
      </c>
    </row>
    <row r="314" spans="1:10" x14ac:dyDescent="0.25">
      <c r="A314" t="s">
        <v>707</v>
      </c>
      <c r="B314" t="s">
        <v>708</v>
      </c>
      <c r="C314">
        <v>1</v>
      </c>
      <c r="E314" t="s">
        <v>784</v>
      </c>
      <c r="F314" s="12" t="str">
        <f t="shared" si="12"/>
        <v>'B01'</v>
      </c>
      <c r="G314" s="12" t="str">
        <f t="shared" si="13"/>
        <v>'Ricamp'</v>
      </c>
      <c r="H314" t="s">
        <v>785</v>
      </c>
      <c r="I314" t="s">
        <v>654</v>
      </c>
      <c r="J314" t="str">
        <f t="shared" si="14"/>
        <v>('B01','Ricamp',1),</v>
      </c>
    </row>
    <row r="315" spans="1:10" x14ac:dyDescent="0.25">
      <c r="A315" t="s">
        <v>707</v>
      </c>
      <c r="B315" t="s">
        <v>708</v>
      </c>
      <c r="C315">
        <v>1</v>
      </c>
      <c r="E315" t="s">
        <v>784</v>
      </c>
      <c r="F315" s="12" t="str">
        <f t="shared" si="12"/>
        <v>'B01'</v>
      </c>
      <c r="G315" s="12" t="str">
        <f t="shared" si="13"/>
        <v>'Ricamp'</v>
      </c>
      <c r="H315" t="s">
        <v>785</v>
      </c>
      <c r="I315" t="s">
        <v>654</v>
      </c>
      <c r="J315" t="str">
        <f t="shared" si="14"/>
        <v>('B01','Ricamp',1),</v>
      </c>
    </row>
    <row r="316" spans="1:10" x14ac:dyDescent="0.25">
      <c r="A316" t="s">
        <v>832</v>
      </c>
      <c r="B316" t="s">
        <v>716</v>
      </c>
      <c r="C316">
        <v>1</v>
      </c>
      <c r="E316" t="s">
        <v>784</v>
      </c>
      <c r="F316" s="12" t="str">
        <f t="shared" si="12"/>
        <v>'B3'</v>
      </c>
      <c r="G316" s="12" t="str">
        <f t="shared" si="13"/>
        <v>'Larifrut'</v>
      </c>
      <c r="H316" t="s">
        <v>785</v>
      </c>
      <c r="I316" t="s">
        <v>654</v>
      </c>
      <c r="J316" t="str">
        <f t="shared" si="14"/>
        <v>('B3','Larifrut',1),</v>
      </c>
    </row>
    <row r="317" spans="1:10" x14ac:dyDescent="0.25">
      <c r="A317" t="s">
        <v>741</v>
      </c>
      <c r="B317" t="s">
        <v>742</v>
      </c>
      <c r="C317">
        <v>1</v>
      </c>
      <c r="E317" t="s">
        <v>784</v>
      </c>
      <c r="F317" s="12" t="str">
        <f t="shared" si="12"/>
        <v>'B04'</v>
      </c>
      <c r="G317" s="12" t="str">
        <f t="shared" si="13"/>
        <v>'Banamac'</v>
      </c>
      <c r="H317" t="s">
        <v>785</v>
      </c>
      <c r="I317" t="s">
        <v>654</v>
      </c>
      <c r="J317" t="str">
        <f t="shared" si="14"/>
        <v>('B04','Banamac',1),</v>
      </c>
    </row>
    <row r="318" spans="1:10" x14ac:dyDescent="0.25">
      <c r="A318" t="s">
        <v>704</v>
      </c>
      <c r="B318" t="s">
        <v>833</v>
      </c>
      <c r="C318">
        <v>1</v>
      </c>
      <c r="E318" t="s">
        <v>784</v>
      </c>
      <c r="F318" s="12" t="str">
        <f t="shared" si="12"/>
        <v>'B07'</v>
      </c>
      <c r="G318" s="12" t="str">
        <f t="shared" si="13"/>
        <v>'Erik Viveros'</v>
      </c>
      <c r="H318" t="s">
        <v>785</v>
      </c>
      <c r="I318" t="s">
        <v>654</v>
      </c>
      <c r="J318" t="str">
        <f t="shared" si="14"/>
        <v>('B07','Erik Viveros',1),</v>
      </c>
    </row>
    <row r="319" spans="1:10" x14ac:dyDescent="0.25">
      <c r="A319" t="s">
        <v>721</v>
      </c>
      <c r="B319" t="s">
        <v>722</v>
      </c>
      <c r="C319">
        <v>1</v>
      </c>
      <c r="E319" t="s">
        <v>784</v>
      </c>
      <c r="F319" s="12" t="str">
        <f t="shared" si="12"/>
        <v>'B15'</v>
      </c>
      <c r="G319" s="12" t="str">
        <f t="shared" si="13"/>
        <v>'Juan Valdivia'</v>
      </c>
      <c r="H319" t="s">
        <v>785</v>
      </c>
      <c r="I319" t="s">
        <v>654</v>
      </c>
      <c r="J319" t="str">
        <f t="shared" si="14"/>
        <v>('B15','Juan Valdivia',1),</v>
      </c>
    </row>
    <row r="320" spans="1:10" x14ac:dyDescent="0.25">
      <c r="A320" t="s">
        <v>832</v>
      </c>
      <c r="B320" t="s">
        <v>716</v>
      </c>
      <c r="C320">
        <v>1</v>
      </c>
      <c r="E320" t="s">
        <v>784</v>
      </c>
      <c r="F320" s="12" t="str">
        <f t="shared" si="12"/>
        <v>'B3'</v>
      </c>
      <c r="G320" s="12" t="str">
        <f t="shared" si="13"/>
        <v>'Larifrut'</v>
      </c>
      <c r="H320" t="s">
        <v>785</v>
      </c>
      <c r="I320" t="s">
        <v>654</v>
      </c>
      <c r="J320" t="str">
        <f t="shared" si="14"/>
        <v>('B3','Larifrut',1),</v>
      </c>
    </row>
    <row r="321" spans="1:10" x14ac:dyDescent="0.25">
      <c r="A321" t="s">
        <v>707</v>
      </c>
      <c r="B321" t="s">
        <v>708</v>
      </c>
      <c r="C321">
        <v>1</v>
      </c>
      <c r="E321" t="s">
        <v>784</v>
      </c>
      <c r="F321" s="12" t="str">
        <f t="shared" si="12"/>
        <v>'B01'</v>
      </c>
      <c r="G321" s="12" t="str">
        <f t="shared" si="13"/>
        <v>'Ricamp'</v>
      </c>
      <c r="H321" t="s">
        <v>785</v>
      </c>
      <c r="I321" t="s">
        <v>654</v>
      </c>
      <c r="J321" t="str">
        <f t="shared" si="14"/>
        <v>('B01','Ricamp',1),</v>
      </c>
    </row>
    <row r="322" spans="1:10" x14ac:dyDescent="0.25">
      <c r="A322" t="s">
        <v>704</v>
      </c>
      <c r="B322" t="s">
        <v>833</v>
      </c>
      <c r="C322">
        <v>1</v>
      </c>
      <c r="E322" t="s">
        <v>784</v>
      </c>
      <c r="F322" s="12" t="str">
        <f t="shared" si="12"/>
        <v>'B07'</v>
      </c>
      <c r="G322" s="12" t="str">
        <f t="shared" si="13"/>
        <v>'Erik Viveros'</v>
      </c>
      <c r="H322" t="s">
        <v>785</v>
      </c>
      <c r="I322" t="s">
        <v>654</v>
      </c>
      <c r="J322" t="str">
        <f t="shared" si="14"/>
        <v>('B07','Erik Viveros',1),</v>
      </c>
    </row>
    <row r="323" spans="1:10" x14ac:dyDescent="0.25">
      <c r="A323" t="s">
        <v>721</v>
      </c>
      <c r="B323" t="s">
        <v>722</v>
      </c>
      <c r="C323">
        <v>1</v>
      </c>
      <c r="E323" t="s">
        <v>784</v>
      </c>
      <c r="F323" s="12" t="str">
        <f t="shared" ref="F323:F386" si="15">+"'"&amp;A323&amp;"'"</f>
        <v>'B15'</v>
      </c>
      <c r="G323" s="12" t="str">
        <f t="shared" ref="G323:G386" si="16">+"'"&amp;B323&amp;"'"</f>
        <v>'Juan Valdivia'</v>
      </c>
      <c r="H323" t="s">
        <v>785</v>
      </c>
      <c r="I323" t="s">
        <v>654</v>
      </c>
      <c r="J323" t="str">
        <f t="shared" ref="J323:J386" si="17">+E323&amp;F323&amp;I323&amp;G323&amp;I323&amp;C323&amp;H323&amp;I323</f>
        <v>('B15','Juan Valdivia',1),</v>
      </c>
    </row>
    <row r="324" spans="1:10" x14ac:dyDescent="0.25">
      <c r="C324">
        <v>1</v>
      </c>
      <c r="E324" t="s">
        <v>784</v>
      </c>
      <c r="F324" s="12" t="str">
        <f t="shared" si="15"/>
        <v>''</v>
      </c>
      <c r="G324" s="12" t="str">
        <f t="shared" si="16"/>
        <v>''</v>
      </c>
      <c r="H324" t="s">
        <v>785</v>
      </c>
      <c r="I324" t="s">
        <v>654</v>
      </c>
      <c r="J324" t="str">
        <f t="shared" si="17"/>
        <v>('','',1),</v>
      </c>
    </row>
    <row r="325" spans="1:10" x14ac:dyDescent="0.25">
      <c r="A325" t="s">
        <v>704</v>
      </c>
      <c r="B325" t="s">
        <v>833</v>
      </c>
      <c r="C325">
        <v>1</v>
      </c>
      <c r="E325" t="s">
        <v>784</v>
      </c>
      <c r="F325" s="12" t="str">
        <f t="shared" si="15"/>
        <v>'B07'</v>
      </c>
      <c r="G325" s="12" t="str">
        <f t="shared" si="16"/>
        <v>'Erik Viveros'</v>
      </c>
      <c r="H325" t="s">
        <v>785</v>
      </c>
      <c r="I325" t="s">
        <v>654</v>
      </c>
      <c r="J325" t="str">
        <f t="shared" si="17"/>
        <v>('B07','Erik Viveros',1),</v>
      </c>
    </row>
    <row r="326" spans="1:10" x14ac:dyDescent="0.25">
      <c r="A326" t="s">
        <v>717</v>
      </c>
      <c r="B326" t="s">
        <v>718</v>
      </c>
      <c r="C326">
        <v>1</v>
      </c>
      <c r="E326" t="s">
        <v>784</v>
      </c>
      <c r="F326" s="12" t="str">
        <f t="shared" si="15"/>
        <v>'B20'</v>
      </c>
      <c r="G326" s="12" t="str">
        <f t="shared" si="16"/>
        <v>'Jorge Garcia'</v>
      </c>
      <c r="H326" t="s">
        <v>785</v>
      </c>
      <c r="I326" t="s">
        <v>654</v>
      </c>
      <c r="J326" t="str">
        <f t="shared" si="17"/>
        <v>('B20','Jorge Garcia',1),</v>
      </c>
    </row>
    <row r="327" spans="1:10" x14ac:dyDescent="0.25">
      <c r="A327" t="s">
        <v>719</v>
      </c>
      <c r="B327" t="s">
        <v>720</v>
      </c>
      <c r="C327">
        <v>1</v>
      </c>
      <c r="E327" t="s">
        <v>784</v>
      </c>
      <c r="F327" s="12" t="str">
        <f t="shared" si="15"/>
        <v>'B06'</v>
      </c>
      <c r="G327" s="12" t="str">
        <f t="shared" si="16"/>
        <v>'Jose Rivera'</v>
      </c>
      <c r="H327" t="s">
        <v>785</v>
      </c>
      <c r="I327" t="s">
        <v>654</v>
      </c>
      <c r="J327" t="str">
        <f t="shared" si="17"/>
        <v>('B06','Jose Rivera',1),</v>
      </c>
    </row>
    <row r="328" spans="1:10" x14ac:dyDescent="0.25">
      <c r="A328" t="s">
        <v>704</v>
      </c>
      <c r="B328" t="s">
        <v>833</v>
      </c>
      <c r="C328">
        <v>1</v>
      </c>
      <c r="E328" t="s">
        <v>784</v>
      </c>
      <c r="F328" s="12" t="str">
        <f t="shared" si="15"/>
        <v>'B07'</v>
      </c>
      <c r="G328" s="12" t="str">
        <f t="shared" si="16"/>
        <v>'Erik Viveros'</v>
      </c>
      <c r="H328" t="s">
        <v>785</v>
      </c>
      <c r="I328" t="s">
        <v>654</v>
      </c>
      <c r="J328" t="str">
        <f t="shared" si="17"/>
        <v>('B07','Erik Viveros',1),</v>
      </c>
    </row>
    <row r="329" spans="1:10" x14ac:dyDescent="0.25">
      <c r="A329" t="s">
        <v>704</v>
      </c>
      <c r="B329" t="s">
        <v>833</v>
      </c>
      <c r="C329">
        <v>1</v>
      </c>
      <c r="E329" t="s">
        <v>784</v>
      </c>
      <c r="F329" s="12" t="str">
        <f t="shared" si="15"/>
        <v>'B07'</v>
      </c>
      <c r="G329" s="12" t="str">
        <f t="shared" si="16"/>
        <v>'Erik Viveros'</v>
      </c>
      <c r="H329" t="s">
        <v>785</v>
      </c>
      <c r="I329" t="s">
        <v>654</v>
      </c>
      <c r="J329" t="str">
        <f t="shared" si="17"/>
        <v>('B07','Erik Viveros',1),</v>
      </c>
    </row>
    <row r="330" spans="1:10" x14ac:dyDescent="0.25">
      <c r="C330">
        <v>1</v>
      </c>
      <c r="E330" t="s">
        <v>784</v>
      </c>
      <c r="F330" s="12" t="str">
        <f t="shared" si="15"/>
        <v>''</v>
      </c>
      <c r="G330" s="12" t="str">
        <f t="shared" si="16"/>
        <v>''</v>
      </c>
      <c r="H330" t="s">
        <v>785</v>
      </c>
      <c r="I330" t="s">
        <v>654</v>
      </c>
      <c r="J330" t="str">
        <f t="shared" si="17"/>
        <v>('','',1),</v>
      </c>
    </row>
    <row r="331" spans="1:10" x14ac:dyDescent="0.25">
      <c r="A331" t="s">
        <v>719</v>
      </c>
      <c r="B331" t="s">
        <v>720</v>
      </c>
      <c r="C331">
        <v>1</v>
      </c>
      <c r="E331" t="s">
        <v>784</v>
      </c>
      <c r="F331" s="12" t="str">
        <f t="shared" si="15"/>
        <v>'B06'</v>
      </c>
      <c r="G331" s="12" t="str">
        <f t="shared" si="16"/>
        <v>'Jose Rivera'</v>
      </c>
      <c r="H331" t="s">
        <v>785</v>
      </c>
      <c r="I331" t="s">
        <v>654</v>
      </c>
      <c r="J331" t="str">
        <f t="shared" si="17"/>
        <v>('B06','Jose Rivera',1),</v>
      </c>
    </row>
    <row r="332" spans="1:10" x14ac:dyDescent="0.25">
      <c r="A332" t="s">
        <v>719</v>
      </c>
      <c r="B332" t="s">
        <v>720</v>
      </c>
      <c r="C332">
        <v>1</v>
      </c>
      <c r="E332" t="s">
        <v>784</v>
      </c>
      <c r="F332" s="12" t="str">
        <f t="shared" si="15"/>
        <v>'B06'</v>
      </c>
      <c r="G332" s="12" t="str">
        <f t="shared" si="16"/>
        <v>'Jose Rivera'</v>
      </c>
      <c r="H332" t="s">
        <v>785</v>
      </c>
      <c r="I332" t="s">
        <v>654</v>
      </c>
      <c r="J332" t="str">
        <f t="shared" si="17"/>
        <v>('B06','Jose Rivera',1),</v>
      </c>
    </row>
    <row r="333" spans="1:10" x14ac:dyDescent="0.25">
      <c r="A333" t="s">
        <v>707</v>
      </c>
      <c r="B333" t="s">
        <v>708</v>
      </c>
      <c r="C333">
        <v>1</v>
      </c>
      <c r="E333" t="s">
        <v>784</v>
      </c>
      <c r="F333" s="12" t="str">
        <f t="shared" si="15"/>
        <v>'B01'</v>
      </c>
      <c r="G333" s="12" t="str">
        <f t="shared" si="16"/>
        <v>'Ricamp'</v>
      </c>
      <c r="H333" t="s">
        <v>785</v>
      </c>
      <c r="I333" t="s">
        <v>654</v>
      </c>
      <c r="J333" t="str">
        <f t="shared" si="17"/>
        <v>('B01','Ricamp',1),</v>
      </c>
    </row>
    <row r="334" spans="1:10" x14ac:dyDescent="0.25">
      <c r="A334" t="s">
        <v>715</v>
      </c>
      <c r="B334" t="s">
        <v>716</v>
      </c>
      <c r="C334">
        <v>1</v>
      </c>
      <c r="E334" t="s">
        <v>784</v>
      </c>
      <c r="F334" s="12" t="str">
        <f t="shared" si="15"/>
        <v>'B03'</v>
      </c>
      <c r="G334" s="12" t="str">
        <f t="shared" si="16"/>
        <v>'Larifrut'</v>
      </c>
      <c r="H334" t="s">
        <v>785</v>
      </c>
      <c r="I334" t="s">
        <v>654</v>
      </c>
      <c r="J334" t="str">
        <f t="shared" si="17"/>
        <v>('B03','Larifrut',1),</v>
      </c>
    </row>
    <row r="335" spans="1:10" x14ac:dyDescent="0.25">
      <c r="A335" t="s">
        <v>704</v>
      </c>
      <c r="B335" t="s">
        <v>833</v>
      </c>
      <c r="C335">
        <v>1</v>
      </c>
      <c r="E335" t="s">
        <v>784</v>
      </c>
      <c r="F335" s="12" t="str">
        <f t="shared" si="15"/>
        <v>'B07'</v>
      </c>
      <c r="G335" s="12" t="str">
        <f t="shared" si="16"/>
        <v>'Erik Viveros'</v>
      </c>
      <c r="H335" t="s">
        <v>785</v>
      </c>
      <c r="I335" t="s">
        <v>654</v>
      </c>
      <c r="J335" t="str">
        <f t="shared" si="17"/>
        <v>('B07','Erik Viveros',1),</v>
      </c>
    </row>
    <row r="336" spans="1:10" x14ac:dyDescent="0.25">
      <c r="A336" t="s">
        <v>709</v>
      </c>
      <c r="B336" t="s">
        <v>710</v>
      </c>
      <c r="C336">
        <v>1</v>
      </c>
      <c r="E336" t="s">
        <v>784</v>
      </c>
      <c r="F336" s="12" t="str">
        <f t="shared" si="15"/>
        <v>'B05'</v>
      </c>
      <c r="G336" s="12" t="str">
        <f t="shared" si="16"/>
        <v>'Maria Elena'</v>
      </c>
      <c r="H336" t="s">
        <v>785</v>
      </c>
      <c r="I336" t="s">
        <v>654</v>
      </c>
      <c r="J336" t="str">
        <f t="shared" si="17"/>
        <v>('B05','Maria Elena',1),</v>
      </c>
    </row>
    <row r="337" spans="1:10" x14ac:dyDescent="0.25">
      <c r="A337" t="s">
        <v>719</v>
      </c>
      <c r="B337" t="s">
        <v>720</v>
      </c>
      <c r="C337">
        <v>1</v>
      </c>
      <c r="E337" t="s">
        <v>784</v>
      </c>
      <c r="F337" s="12" t="str">
        <f t="shared" si="15"/>
        <v>'B06'</v>
      </c>
      <c r="G337" s="12" t="str">
        <f t="shared" si="16"/>
        <v>'Jose Rivera'</v>
      </c>
      <c r="H337" t="s">
        <v>785</v>
      </c>
      <c r="I337" t="s">
        <v>654</v>
      </c>
      <c r="J337" t="str">
        <f t="shared" si="17"/>
        <v>('B06','Jose Rivera',1),</v>
      </c>
    </row>
    <row r="338" spans="1:10" x14ac:dyDescent="0.25">
      <c r="A338" t="s">
        <v>715</v>
      </c>
      <c r="B338" t="s">
        <v>716</v>
      </c>
      <c r="C338">
        <v>1</v>
      </c>
      <c r="E338" t="s">
        <v>784</v>
      </c>
      <c r="F338" s="12" t="str">
        <f t="shared" si="15"/>
        <v>'B03'</v>
      </c>
      <c r="G338" s="12" t="str">
        <f t="shared" si="16"/>
        <v>'Larifrut'</v>
      </c>
      <c r="H338" t="s">
        <v>785</v>
      </c>
      <c r="I338" t="s">
        <v>654</v>
      </c>
      <c r="J338" t="str">
        <f t="shared" si="17"/>
        <v>('B03','Larifrut',1),</v>
      </c>
    </row>
    <row r="339" spans="1:10" x14ac:dyDescent="0.25">
      <c r="A339" t="s">
        <v>717</v>
      </c>
      <c r="B339" t="s">
        <v>718</v>
      </c>
      <c r="C339">
        <v>1</v>
      </c>
      <c r="E339" t="s">
        <v>784</v>
      </c>
      <c r="F339" s="12" t="str">
        <f t="shared" si="15"/>
        <v>'B20'</v>
      </c>
      <c r="G339" s="12" t="str">
        <f t="shared" si="16"/>
        <v>'Jorge Garcia'</v>
      </c>
      <c r="H339" t="s">
        <v>785</v>
      </c>
      <c r="I339" t="s">
        <v>654</v>
      </c>
      <c r="J339" t="str">
        <f t="shared" si="17"/>
        <v>('B20','Jorge Garcia',1),</v>
      </c>
    </row>
    <row r="340" spans="1:10" x14ac:dyDescent="0.25">
      <c r="A340" t="s">
        <v>715</v>
      </c>
      <c r="B340" t="s">
        <v>716</v>
      </c>
      <c r="C340">
        <v>1</v>
      </c>
      <c r="E340" t="s">
        <v>784</v>
      </c>
      <c r="F340" s="12" t="str">
        <f t="shared" si="15"/>
        <v>'B03'</v>
      </c>
      <c r="G340" s="12" t="str">
        <f t="shared" si="16"/>
        <v>'Larifrut'</v>
      </c>
      <c r="H340" t="s">
        <v>785</v>
      </c>
      <c r="I340" t="s">
        <v>654</v>
      </c>
      <c r="J340" t="str">
        <f t="shared" si="17"/>
        <v>('B03','Larifrut',1),</v>
      </c>
    </row>
    <row r="341" spans="1:10" x14ac:dyDescent="0.25">
      <c r="A341" t="s">
        <v>717</v>
      </c>
      <c r="B341" t="s">
        <v>718</v>
      </c>
      <c r="C341">
        <v>1</v>
      </c>
      <c r="E341" t="s">
        <v>784</v>
      </c>
      <c r="F341" s="12" t="str">
        <f t="shared" si="15"/>
        <v>'B20'</v>
      </c>
      <c r="G341" s="12" t="str">
        <f t="shared" si="16"/>
        <v>'Jorge Garcia'</v>
      </c>
      <c r="H341" t="s">
        <v>785</v>
      </c>
      <c r="I341" t="s">
        <v>654</v>
      </c>
      <c r="J341" t="str">
        <f t="shared" si="17"/>
        <v>('B20','Jorge Garcia',1),</v>
      </c>
    </row>
    <row r="342" spans="1:10" x14ac:dyDescent="0.25">
      <c r="A342" t="s">
        <v>709</v>
      </c>
      <c r="B342" t="s">
        <v>710</v>
      </c>
      <c r="C342">
        <v>1</v>
      </c>
      <c r="E342" t="s">
        <v>784</v>
      </c>
      <c r="F342" s="12" t="str">
        <f t="shared" si="15"/>
        <v>'B05'</v>
      </c>
      <c r="G342" s="12" t="str">
        <f t="shared" si="16"/>
        <v>'Maria Elena'</v>
      </c>
      <c r="H342" t="s">
        <v>785</v>
      </c>
      <c r="I342" t="s">
        <v>654</v>
      </c>
      <c r="J342" t="str">
        <f t="shared" si="17"/>
        <v>('B05','Maria Elena',1),</v>
      </c>
    </row>
    <row r="343" spans="1:10" x14ac:dyDescent="0.25">
      <c r="A343" t="s">
        <v>723</v>
      </c>
      <c r="B343" t="s">
        <v>724</v>
      </c>
      <c r="C343">
        <v>1</v>
      </c>
      <c r="E343" t="s">
        <v>784</v>
      </c>
      <c r="F343" s="12" t="str">
        <f t="shared" si="15"/>
        <v>'B19'</v>
      </c>
      <c r="G343" s="12" t="str">
        <f t="shared" si="16"/>
        <v>'Dulce Arceo'</v>
      </c>
      <c r="H343" t="s">
        <v>785</v>
      </c>
      <c r="I343" t="s">
        <v>654</v>
      </c>
      <c r="J343" t="str">
        <f t="shared" si="17"/>
        <v>('B19','Dulce Arceo',1),</v>
      </c>
    </row>
    <row r="344" spans="1:10" x14ac:dyDescent="0.25">
      <c r="A344" t="s">
        <v>723</v>
      </c>
      <c r="B344" t="s">
        <v>724</v>
      </c>
      <c r="C344">
        <v>1</v>
      </c>
      <c r="E344" t="s">
        <v>784</v>
      </c>
      <c r="F344" s="12" t="str">
        <f t="shared" si="15"/>
        <v>'B19'</v>
      </c>
      <c r="G344" s="12" t="str">
        <f t="shared" si="16"/>
        <v>'Dulce Arceo'</v>
      </c>
      <c r="H344" t="s">
        <v>785</v>
      </c>
      <c r="I344" t="s">
        <v>654</v>
      </c>
      <c r="J344" t="str">
        <f t="shared" si="17"/>
        <v>('B19','Dulce Arceo',1),</v>
      </c>
    </row>
    <row r="345" spans="1:10" x14ac:dyDescent="0.25">
      <c r="A345" t="s">
        <v>723</v>
      </c>
      <c r="B345" t="s">
        <v>724</v>
      </c>
      <c r="C345">
        <v>1</v>
      </c>
      <c r="E345" t="s">
        <v>784</v>
      </c>
      <c r="F345" s="12" t="str">
        <f t="shared" si="15"/>
        <v>'B19'</v>
      </c>
      <c r="G345" s="12" t="str">
        <f t="shared" si="16"/>
        <v>'Dulce Arceo'</v>
      </c>
      <c r="H345" t="s">
        <v>785</v>
      </c>
      <c r="I345" t="s">
        <v>654</v>
      </c>
      <c r="J345" t="str">
        <f t="shared" si="17"/>
        <v>('B19','Dulce Arceo',1),</v>
      </c>
    </row>
    <row r="346" spans="1:10" x14ac:dyDescent="0.25">
      <c r="A346" t="s">
        <v>723</v>
      </c>
      <c r="B346" t="s">
        <v>724</v>
      </c>
      <c r="C346">
        <v>1</v>
      </c>
      <c r="E346" t="s">
        <v>784</v>
      </c>
      <c r="F346" s="12" t="str">
        <f t="shared" si="15"/>
        <v>'B19'</v>
      </c>
      <c r="G346" s="12" t="str">
        <f t="shared" si="16"/>
        <v>'Dulce Arceo'</v>
      </c>
      <c r="H346" t="s">
        <v>785</v>
      </c>
      <c r="I346" t="s">
        <v>654</v>
      </c>
      <c r="J346" t="str">
        <f t="shared" si="17"/>
        <v>('B19','Dulce Arceo',1),</v>
      </c>
    </row>
    <row r="347" spans="1:10" x14ac:dyDescent="0.25">
      <c r="A347" t="s">
        <v>704</v>
      </c>
      <c r="B347" t="s">
        <v>833</v>
      </c>
      <c r="C347">
        <v>1</v>
      </c>
      <c r="E347" t="s">
        <v>784</v>
      </c>
      <c r="F347" s="12" t="str">
        <f t="shared" si="15"/>
        <v>'B07'</v>
      </c>
      <c r="G347" s="12" t="str">
        <f t="shared" si="16"/>
        <v>'Erik Viveros'</v>
      </c>
      <c r="H347" t="s">
        <v>785</v>
      </c>
      <c r="I347" t="s">
        <v>654</v>
      </c>
      <c r="J347" t="str">
        <f t="shared" si="17"/>
        <v>('B07','Erik Viveros',1),</v>
      </c>
    </row>
    <row r="348" spans="1:10" x14ac:dyDescent="0.25">
      <c r="A348" t="s">
        <v>704</v>
      </c>
      <c r="B348" t="s">
        <v>833</v>
      </c>
      <c r="C348">
        <v>1</v>
      </c>
      <c r="E348" t="s">
        <v>784</v>
      </c>
      <c r="F348" s="12" t="str">
        <f t="shared" si="15"/>
        <v>'B07'</v>
      </c>
      <c r="G348" s="12" t="str">
        <f t="shared" si="16"/>
        <v>'Erik Viveros'</v>
      </c>
      <c r="H348" t="s">
        <v>785</v>
      </c>
      <c r="I348" t="s">
        <v>654</v>
      </c>
      <c r="J348" t="str">
        <f t="shared" si="17"/>
        <v>('B07','Erik Viveros',1),</v>
      </c>
    </row>
    <row r="349" spans="1:10" x14ac:dyDescent="0.25">
      <c r="A349" t="s">
        <v>707</v>
      </c>
      <c r="B349" t="s">
        <v>708</v>
      </c>
      <c r="C349">
        <v>1</v>
      </c>
      <c r="E349" t="s">
        <v>784</v>
      </c>
      <c r="F349" s="12" t="str">
        <f t="shared" si="15"/>
        <v>'B01'</v>
      </c>
      <c r="G349" s="12" t="str">
        <f t="shared" si="16"/>
        <v>'Ricamp'</v>
      </c>
      <c r="H349" t="s">
        <v>785</v>
      </c>
      <c r="I349" t="s">
        <v>654</v>
      </c>
      <c r="J349" t="str">
        <f t="shared" si="17"/>
        <v>('B01','Ricamp',1),</v>
      </c>
    </row>
    <row r="350" spans="1:10" x14ac:dyDescent="0.25">
      <c r="A350" t="s">
        <v>717</v>
      </c>
      <c r="B350" t="s">
        <v>718</v>
      </c>
      <c r="C350">
        <v>1</v>
      </c>
      <c r="E350" t="s">
        <v>784</v>
      </c>
      <c r="F350" s="12" t="str">
        <f t="shared" si="15"/>
        <v>'B20'</v>
      </c>
      <c r="G350" s="12" t="str">
        <f t="shared" si="16"/>
        <v>'Jorge Garcia'</v>
      </c>
      <c r="H350" t="s">
        <v>785</v>
      </c>
      <c r="I350" t="s">
        <v>654</v>
      </c>
      <c r="J350" t="str">
        <f t="shared" si="17"/>
        <v>('B20','Jorge Garcia',1),</v>
      </c>
    </row>
    <row r="351" spans="1:10" x14ac:dyDescent="0.25">
      <c r="A351" t="s">
        <v>711</v>
      </c>
      <c r="B351" t="s">
        <v>712</v>
      </c>
      <c r="C351">
        <v>1</v>
      </c>
      <c r="E351" t="s">
        <v>784</v>
      </c>
      <c r="F351" s="12" t="str">
        <f t="shared" si="15"/>
        <v>'B02'</v>
      </c>
      <c r="G351" s="12" t="str">
        <f t="shared" si="16"/>
        <v>'Ochoa'</v>
      </c>
      <c r="H351" t="s">
        <v>785</v>
      </c>
      <c r="I351" t="s">
        <v>654</v>
      </c>
      <c r="J351" t="str">
        <f t="shared" si="17"/>
        <v>('B02','Ochoa',1),</v>
      </c>
    </row>
    <row r="352" spans="1:10" x14ac:dyDescent="0.25">
      <c r="A352" t="s">
        <v>709</v>
      </c>
      <c r="B352" t="s">
        <v>710</v>
      </c>
      <c r="C352">
        <v>1</v>
      </c>
      <c r="E352" t="s">
        <v>784</v>
      </c>
      <c r="F352" s="12" t="str">
        <f t="shared" si="15"/>
        <v>'B05'</v>
      </c>
      <c r="G352" s="12" t="str">
        <f t="shared" si="16"/>
        <v>'Maria Elena'</v>
      </c>
      <c r="H352" t="s">
        <v>785</v>
      </c>
      <c r="I352" t="s">
        <v>654</v>
      </c>
      <c r="J352" t="str">
        <f t="shared" si="17"/>
        <v>('B05','Maria Elena',1),</v>
      </c>
    </row>
    <row r="353" spans="1:10" x14ac:dyDescent="0.25">
      <c r="A353" t="s">
        <v>704</v>
      </c>
      <c r="B353" t="s">
        <v>833</v>
      </c>
      <c r="C353">
        <v>1</v>
      </c>
      <c r="E353" t="s">
        <v>784</v>
      </c>
      <c r="F353" s="12" t="str">
        <f t="shared" si="15"/>
        <v>'B07'</v>
      </c>
      <c r="G353" s="12" t="str">
        <f t="shared" si="16"/>
        <v>'Erik Viveros'</v>
      </c>
      <c r="H353" t="s">
        <v>785</v>
      </c>
      <c r="I353" t="s">
        <v>654</v>
      </c>
      <c r="J353" t="str">
        <f t="shared" si="17"/>
        <v>('B07','Erik Viveros',1),</v>
      </c>
    </row>
    <row r="354" spans="1:10" x14ac:dyDescent="0.25">
      <c r="A354" t="s">
        <v>719</v>
      </c>
      <c r="B354" t="s">
        <v>720</v>
      </c>
      <c r="C354">
        <v>1</v>
      </c>
      <c r="E354" t="s">
        <v>784</v>
      </c>
      <c r="F354" s="12" t="str">
        <f t="shared" si="15"/>
        <v>'B06'</v>
      </c>
      <c r="G354" s="12" t="str">
        <f t="shared" si="16"/>
        <v>'Jose Rivera'</v>
      </c>
      <c r="H354" t="s">
        <v>785</v>
      </c>
      <c r="I354" t="s">
        <v>654</v>
      </c>
      <c r="J354" t="str">
        <f t="shared" si="17"/>
        <v>('B06','Jose Rivera',1),</v>
      </c>
    </row>
    <row r="355" spans="1:10" x14ac:dyDescent="0.25">
      <c r="A355" t="s">
        <v>707</v>
      </c>
      <c r="B355" t="s">
        <v>708</v>
      </c>
      <c r="C355">
        <v>1</v>
      </c>
      <c r="E355" t="s">
        <v>784</v>
      </c>
      <c r="F355" s="12" t="str">
        <f t="shared" si="15"/>
        <v>'B01'</v>
      </c>
      <c r="G355" s="12" t="str">
        <f t="shared" si="16"/>
        <v>'Ricamp'</v>
      </c>
      <c r="H355" t="s">
        <v>785</v>
      </c>
      <c r="I355" t="s">
        <v>654</v>
      </c>
      <c r="J355" t="str">
        <f t="shared" si="17"/>
        <v>('B01','Ricamp',1),</v>
      </c>
    </row>
    <row r="356" spans="1:10" x14ac:dyDescent="0.25">
      <c r="A356" t="s">
        <v>719</v>
      </c>
      <c r="B356" t="s">
        <v>720</v>
      </c>
      <c r="C356">
        <v>1</v>
      </c>
      <c r="E356" t="s">
        <v>784</v>
      </c>
      <c r="F356" s="12" t="str">
        <f t="shared" si="15"/>
        <v>'B06'</v>
      </c>
      <c r="G356" s="12" t="str">
        <f t="shared" si="16"/>
        <v>'Jose Rivera'</v>
      </c>
      <c r="H356" t="s">
        <v>785</v>
      </c>
      <c r="I356" t="s">
        <v>654</v>
      </c>
      <c r="J356" t="str">
        <f t="shared" si="17"/>
        <v>('B06','Jose Rivera',1),</v>
      </c>
    </row>
    <row r="357" spans="1:10" x14ac:dyDescent="0.25">
      <c r="A357" t="s">
        <v>715</v>
      </c>
      <c r="B357" t="s">
        <v>716</v>
      </c>
      <c r="C357">
        <v>1</v>
      </c>
      <c r="E357" t="s">
        <v>784</v>
      </c>
      <c r="F357" s="12" t="str">
        <f t="shared" si="15"/>
        <v>'B03'</v>
      </c>
      <c r="G357" s="12" t="str">
        <f t="shared" si="16"/>
        <v>'Larifrut'</v>
      </c>
      <c r="H357" t="s">
        <v>785</v>
      </c>
      <c r="I357" t="s">
        <v>654</v>
      </c>
      <c r="J357" t="str">
        <f t="shared" si="17"/>
        <v>('B03','Larifrut',1),</v>
      </c>
    </row>
    <row r="358" spans="1:10" x14ac:dyDescent="0.25">
      <c r="A358" t="s">
        <v>717</v>
      </c>
      <c r="B358" t="s">
        <v>718</v>
      </c>
      <c r="C358">
        <v>1</v>
      </c>
      <c r="E358" t="s">
        <v>784</v>
      </c>
      <c r="F358" s="12" t="str">
        <f t="shared" si="15"/>
        <v>'B20'</v>
      </c>
      <c r="G358" s="12" t="str">
        <f t="shared" si="16"/>
        <v>'Jorge Garcia'</v>
      </c>
      <c r="H358" t="s">
        <v>785</v>
      </c>
      <c r="I358" t="s">
        <v>654</v>
      </c>
      <c r="J358" t="str">
        <f t="shared" si="17"/>
        <v>('B20','Jorge Garcia',1),</v>
      </c>
    </row>
    <row r="359" spans="1:10" x14ac:dyDescent="0.25">
      <c r="A359" t="s">
        <v>707</v>
      </c>
      <c r="B359" t="s">
        <v>708</v>
      </c>
      <c r="C359">
        <v>1</v>
      </c>
      <c r="E359" t="s">
        <v>784</v>
      </c>
      <c r="F359" s="12" t="str">
        <f t="shared" si="15"/>
        <v>'B01'</v>
      </c>
      <c r="G359" s="12" t="str">
        <f t="shared" si="16"/>
        <v>'Ricamp'</v>
      </c>
      <c r="H359" t="s">
        <v>785</v>
      </c>
      <c r="I359" t="s">
        <v>654</v>
      </c>
      <c r="J359" t="str">
        <f t="shared" si="17"/>
        <v>('B01','Ricamp',1),</v>
      </c>
    </row>
    <row r="360" spans="1:10" x14ac:dyDescent="0.25">
      <c r="C360">
        <v>1</v>
      </c>
      <c r="E360" t="s">
        <v>784</v>
      </c>
      <c r="F360" s="12" t="str">
        <f t="shared" si="15"/>
        <v>''</v>
      </c>
      <c r="G360" s="12" t="str">
        <f t="shared" si="16"/>
        <v>''</v>
      </c>
      <c r="H360" t="s">
        <v>785</v>
      </c>
      <c r="I360" t="s">
        <v>654</v>
      </c>
      <c r="J360" t="str">
        <f t="shared" si="17"/>
        <v>('','',1),</v>
      </c>
    </row>
    <row r="361" spans="1:10" x14ac:dyDescent="0.25">
      <c r="A361" t="s">
        <v>715</v>
      </c>
      <c r="B361" t="s">
        <v>716</v>
      </c>
      <c r="C361">
        <v>1</v>
      </c>
      <c r="E361" t="s">
        <v>784</v>
      </c>
      <c r="F361" s="12" t="str">
        <f t="shared" si="15"/>
        <v>'B03'</v>
      </c>
      <c r="G361" s="12" t="str">
        <f t="shared" si="16"/>
        <v>'Larifrut'</v>
      </c>
      <c r="H361" t="s">
        <v>785</v>
      </c>
      <c r="I361" t="s">
        <v>654</v>
      </c>
      <c r="J361" t="str">
        <f t="shared" si="17"/>
        <v>('B03','Larifrut',1),</v>
      </c>
    </row>
    <row r="362" spans="1:10" x14ac:dyDescent="0.25">
      <c r="A362" t="s">
        <v>717</v>
      </c>
      <c r="B362" t="s">
        <v>718</v>
      </c>
      <c r="C362">
        <v>1</v>
      </c>
      <c r="E362" t="s">
        <v>784</v>
      </c>
      <c r="F362" s="12" t="str">
        <f t="shared" si="15"/>
        <v>'B20'</v>
      </c>
      <c r="G362" s="12" t="str">
        <f t="shared" si="16"/>
        <v>'Jorge Garcia'</v>
      </c>
      <c r="H362" t="s">
        <v>785</v>
      </c>
      <c r="I362" t="s">
        <v>654</v>
      </c>
      <c r="J362" t="str">
        <f t="shared" si="17"/>
        <v>('B20','Jorge Garcia',1),</v>
      </c>
    </row>
    <row r="363" spans="1:10" x14ac:dyDescent="0.25">
      <c r="A363" t="s">
        <v>704</v>
      </c>
      <c r="B363" t="s">
        <v>833</v>
      </c>
      <c r="C363">
        <v>1</v>
      </c>
      <c r="E363" t="s">
        <v>784</v>
      </c>
      <c r="F363" s="12" t="str">
        <f t="shared" si="15"/>
        <v>'B07'</v>
      </c>
      <c r="G363" s="12" t="str">
        <f t="shared" si="16"/>
        <v>'Erik Viveros'</v>
      </c>
      <c r="H363" t="s">
        <v>785</v>
      </c>
      <c r="I363" t="s">
        <v>654</v>
      </c>
      <c r="J363" t="str">
        <f t="shared" si="17"/>
        <v>('B07','Erik Viveros',1),</v>
      </c>
    </row>
    <row r="364" spans="1:10" x14ac:dyDescent="0.25">
      <c r="A364" t="s">
        <v>723</v>
      </c>
      <c r="B364" t="s">
        <v>724</v>
      </c>
      <c r="C364">
        <v>1</v>
      </c>
      <c r="E364" t="s">
        <v>784</v>
      </c>
      <c r="F364" s="12" t="str">
        <f t="shared" si="15"/>
        <v>'B19'</v>
      </c>
      <c r="G364" s="12" t="str">
        <f t="shared" si="16"/>
        <v>'Dulce Arceo'</v>
      </c>
      <c r="H364" t="s">
        <v>785</v>
      </c>
      <c r="I364" t="s">
        <v>654</v>
      </c>
      <c r="J364" t="str">
        <f t="shared" si="17"/>
        <v>('B19','Dulce Arceo',1),</v>
      </c>
    </row>
    <row r="365" spans="1:10" x14ac:dyDescent="0.25">
      <c r="A365" t="s">
        <v>723</v>
      </c>
      <c r="B365" t="s">
        <v>724</v>
      </c>
      <c r="C365">
        <v>1</v>
      </c>
      <c r="E365" t="s">
        <v>784</v>
      </c>
      <c r="F365" s="12" t="str">
        <f t="shared" si="15"/>
        <v>'B19'</v>
      </c>
      <c r="G365" s="12" t="str">
        <f t="shared" si="16"/>
        <v>'Dulce Arceo'</v>
      </c>
      <c r="H365" t="s">
        <v>785</v>
      </c>
      <c r="I365" t="s">
        <v>654</v>
      </c>
      <c r="J365" t="str">
        <f t="shared" si="17"/>
        <v>('B19','Dulce Arceo',1),</v>
      </c>
    </row>
    <row r="366" spans="1:10" x14ac:dyDescent="0.25">
      <c r="A366" t="s">
        <v>717</v>
      </c>
      <c r="B366" t="s">
        <v>718</v>
      </c>
      <c r="C366">
        <v>1</v>
      </c>
      <c r="E366" t="s">
        <v>784</v>
      </c>
      <c r="F366" s="12" t="str">
        <f t="shared" si="15"/>
        <v>'B20'</v>
      </c>
      <c r="G366" s="12" t="str">
        <f t="shared" si="16"/>
        <v>'Jorge Garcia'</v>
      </c>
      <c r="H366" t="s">
        <v>785</v>
      </c>
      <c r="I366" t="s">
        <v>654</v>
      </c>
      <c r="J366" t="str">
        <f t="shared" si="17"/>
        <v>('B20','Jorge Garcia',1),</v>
      </c>
    </row>
    <row r="367" spans="1:10" x14ac:dyDescent="0.25">
      <c r="A367" t="s">
        <v>715</v>
      </c>
      <c r="B367" t="s">
        <v>716</v>
      </c>
      <c r="C367">
        <v>1</v>
      </c>
      <c r="E367" t="s">
        <v>784</v>
      </c>
      <c r="F367" s="12" t="str">
        <f t="shared" si="15"/>
        <v>'B03'</v>
      </c>
      <c r="G367" s="12" t="str">
        <f t="shared" si="16"/>
        <v>'Larifrut'</v>
      </c>
      <c r="H367" t="s">
        <v>785</v>
      </c>
      <c r="I367" t="s">
        <v>654</v>
      </c>
      <c r="J367" t="str">
        <f t="shared" si="17"/>
        <v>('B03','Larifrut',1),</v>
      </c>
    </row>
    <row r="368" spans="1:10" x14ac:dyDescent="0.25">
      <c r="A368" t="s">
        <v>717</v>
      </c>
      <c r="B368" t="s">
        <v>718</v>
      </c>
      <c r="C368">
        <v>1</v>
      </c>
      <c r="E368" t="s">
        <v>784</v>
      </c>
      <c r="F368" s="12" t="str">
        <f t="shared" si="15"/>
        <v>'B20'</v>
      </c>
      <c r="G368" s="12" t="str">
        <f t="shared" si="16"/>
        <v>'Jorge Garcia'</v>
      </c>
      <c r="H368" t="s">
        <v>785</v>
      </c>
      <c r="I368" t="s">
        <v>654</v>
      </c>
      <c r="J368" t="str">
        <f t="shared" si="17"/>
        <v>('B20','Jorge Garcia',1),</v>
      </c>
    </row>
    <row r="369" spans="1:10" x14ac:dyDescent="0.25">
      <c r="A369" t="s">
        <v>717</v>
      </c>
      <c r="B369" t="s">
        <v>718</v>
      </c>
      <c r="C369">
        <v>1</v>
      </c>
      <c r="E369" t="s">
        <v>784</v>
      </c>
      <c r="F369" s="12" t="str">
        <f t="shared" si="15"/>
        <v>'B20'</v>
      </c>
      <c r="G369" s="12" t="str">
        <f t="shared" si="16"/>
        <v>'Jorge Garcia'</v>
      </c>
      <c r="H369" t="s">
        <v>785</v>
      </c>
      <c r="I369" t="s">
        <v>654</v>
      </c>
      <c r="J369" t="str">
        <f t="shared" si="17"/>
        <v>('B20','Jorge Garcia',1),</v>
      </c>
    </row>
    <row r="370" spans="1:10" x14ac:dyDescent="0.25">
      <c r="A370" t="s">
        <v>717</v>
      </c>
      <c r="B370" t="s">
        <v>718</v>
      </c>
      <c r="C370">
        <v>1</v>
      </c>
      <c r="E370" t="s">
        <v>784</v>
      </c>
      <c r="F370" s="12" t="str">
        <f t="shared" si="15"/>
        <v>'B20'</v>
      </c>
      <c r="G370" s="12" t="str">
        <f t="shared" si="16"/>
        <v>'Jorge Garcia'</v>
      </c>
      <c r="H370" t="s">
        <v>785</v>
      </c>
      <c r="I370" t="s">
        <v>654</v>
      </c>
      <c r="J370" t="str">
        <f t="shared" si="17"/>
        <v>('B20','Jorge Garcia',1),</v>
      </c>
    </row>
    <row r="371" spans="1:10" x14ac:dyDescent="0.25">
      <c r="A371" t="s">
        <v>717</v>
      </c>
      <c r="B371" t="s">
        <v>718</v>
      </c>
      <c r="C371">
        <v>1</v>
      </c>
      <c r="E371" t="s">
        <v>784</v>
      </c>
      <c r="F371" s="12" t="str">
        <f t="shared" si="15"/>
        <v>'B20'</v>
      </c>
      <c r="G371" s="12" t="str">
        <f t="shared" si="16"/>
        <v>'Jorge Garcia'</v>
      </c>
      <c r="H371" t="s">
        <v>785</v>
      </c>
      <c r="I371" t="s">
        <v>654</v>
      </c>
      <c r="J371" t="str">
        <f t="shared" si="17"/>
        <v>('B20','Jorge Garcia',1),</v>
      </c>
    </row>
    <row r="372" spans="1:10" x14ac:dyDescent="0.25">
      <c r="A372" t="s">
        <v>709</v>
      </c>
      <c r="B372" t="s">
        <v>710</v>
      </c>
      <c r="C372">
        <v>1</v>
      </c>
      <c r="E372" t="s">
        <v>784</v>
      </c>
      <c r="F372" s="12" t="str">
        <f t="shared" si="15"/>
        <v>'B05'</v>
      </c>
      <c r="G372" s="12" t="str">
        <f t="shared" si="16"/>
        <v>'Maria Elena'</v>
      </c>
      <c r="H372" t="s">
        <v>785</v>
      </c>
      <c r="I372" t="s">
        <v>654</v>
      </c>
      <c r="J372" t="str">
        <f t="shared" si="17"/>
        <v>('B05','Maria Elena',1),</v>
      </c>
    </row>
    <row r="373" spans="1:10" x14ac:dyDescent="0.25">
      <c r="A373" t="s">
        <v>711</v>
      </c>
      <c r="B373" t="s">
        <v>712</v>
      </c>
      <c r="C373">
        <v>1</v>
      </c>
      <c r="E373" t="s">
        <v>784</v>
      </c>
      <c r="F373" s="12" t="str">
        <f t="shared" si="15"/>
        <v>'B02'</v>
      </c>
      <c r="G373" s="12" t="str">
        <f t="shared" si="16"/>
        <v>'Ochoa'</v>
      </c>
      <c r="H373" t="s">
        <v>785</v>
      </c>
      <c r="I373" t="s">
        <v>654</v>
      </c>
      <c r="J373" t="str">
        <f t="shared" si="17"/>
        <v>('B02','Ochoa',1),</v>
      </c>
    </row>
    <row r="374" spans="1:10" x14ac:dyDescent="0.25">
      <c r="A374" t="s">
        <v>750</v>
      </c>
      <c r="B374" t="s">
        <v>751</v>
      </c>
      <c r="C374">
        <v>1</v>
      </c>
      <c r="E374" t="s">
        <v>784</v>
      </c>
      <c r="F374" s="12" t="str">
        <f t="shared" si="15"/>
        <v>'B23'</v>
      </c>
      <c r="G374" s="12" t="str">
        <f t="shared" si="16"/>
        <v>'Fabiola Moreno'</v>
      </c>
      <c r="H374" t="s">
        <v>785</v>
      </c>
      <c r="I374" t="s">
        <v>654</v>
      </c>
      <c r="J374" t="str">
        <f t="shared" si="17"/>
        <v>('B23','Fabiola Moreno',1),</v>
      </c>
    </row>
    <row r="375" spans="1:10" x14ac:dyDescent="0.25">
      <c r="A375" t="s">
        <v>747</v>
      </c>
      <c r="B375" t="s">
        <v>748</v>
      </c>
      <c r="C375">
        <v>1</v>
      </c>
      <c r="E375" t="s">
        <v>784</v>
      </c>
      <c r="F375" s="12" t="str">
        <f t="shared" si="15"/>
        <v>'B21'</v>
      </c>
      <c r="G375" s="12" t="str">
        <f t="shared" si="16"/>
        <v>'Aldo Rincon'</v>
      </c>
      <c r="H375" t="s">
        <v>785</v>
      </c>
      <c r="I375" t="s">
        <v>654</v>
      </c>
      <c r="J375" t="str">
        <f t="shared" si="17"/>
        <v>('B21','Aldo Rincon',1),</v>
      </c>
    </row>
    <row r="376" spans="1:10" x14ac:dyDescent="0.25">
      <c r="A376" t="s">
        <v>717</v>
      </c>
      <c r="B376" t="s">
        <v>718</v>
      </c>
      <c r="C376">
        <v>1</v>
      </c>
      <c r="E376" t="s">
        <v>784</v>
      </c>
      <c r="F376" s="12" t="str">
        <f t="shared" si="15"/>
        <v>'B20'</v>
      </c>
      <c r="G376" s="12" t="str">
        <f t="shared" si="16"/>
        <v>'Jorge Garcia'</v>
      </c>
      <c r="H376" t="s">
        <v>785</v>
      </c>
      <c r="I376" t="s">
        <v>654</v>
      </c>
      <c r="J376" t="str">
        <f t="shared" si="17"/>
        <v>('B20','Jorge Garcia',1),</v>
      </c>
    </row>
    <row r="377" spans="1:10" x14ac:dyDescent="0.25">
      <c r="A377" t="s">
        <v>707</v>
      </c>
      <c r="B377" t="s">
        <v>708</v>
      </c>
      <c r="C377">
        <v>1</v>
      </c>
      <c r="E377" t="s">
        <v>784</v>
      </c>
      <c r="F377" s="12" t="str">
        <f t="shared" si="15"/>
        <v>'B01'</v>
      </c>
      <c r="G377" s="12" t="str">
        <f t="shared" si="16"/>
        <v>'Ricamp'</v>
      </c>
      <c r="H377" t="s">
        <v>785</v>
      </c>
      <c r="I377" t="s">
        <v>654</v>
      </c>
      <c r="J377" t="str">
        <f t="shared" si="17"/>
        <v>('B01','Ricamp',1),</v>
      </c>
    </row>
    <row r="378" spans="1:10" x14ac:dyDescent="0.25">
      <c r="A378" t="s">
        <v>709</v>
      </c>
      <c r="B378" t="s">
        <v>710</v>
      </c>
      <c r="C378">
        <v>1</v>
      </c>
      <c r="E378" t="s">
        <v>784</v>
      </c>
      <c r="F378" s="12" t="str">
        <f t="shared" si="15"/>
        <v>'B05'</v>
      </c>
      <c r="G378" s="12" t="str">
        <f t="shared" si="16"/>
        <v>'Maria Elena'</v>
      </c>
      <c r="H378" t="s">
        <v>785</v>
      </c>
      <c r="I378" t="s">
        <v>654</v>
      </c>
      <c r="J378" t="str">
        <f t="shared" si="17"/>
        <v>('B05','Maria Elena',1),</v>
      </c>
    </row>
    <row r="379" spans="1:10" x14ac:dyDescent="0.25">
      <c r="A379" t="s">
        <v>717</v>
      </c>
      <c r="B379" t="s">
        <v>718</v>
      </c>
      <c r="C379">
        <v>1</v>
      </c>
      <c r="E379" t="s">
        <v>784</v>
      </c>
      <c r="F379" s="12" t="str">
        <f t="shared" si="15"/>
        <v>'B20'</v>
      </c>
      <c r="G379" s="12" t="str">
        <f t="shared" si="16"/>
        <v>'Jorge Garcia'</v>
      </c>
      <c r="H379" t="s">
        <v>785</v>
      </c>
      <c r="I379" t="s">
        <v>654</v>
      </c>
      <c r="J379" t="str">
        <f t="shared" si="17"/>
        <v>('B20','Jorge Garcia',1),</v>
      </c>
    </row>
    <row r="380" spans="1:10" x14ac:dyDescent="0.25">
      <c r="A380" t="s">
        <v>717</v>
      </c>
      <c r="B380" t="s">
        <v>718</v>
      </c>
      <c r="C380">
        <v>1</v>
      </c>
      <c r="E380" t="s">
        <v>784</v>
      </c>
      <c r="F380" s="12" t="str">
        <f t="shared" si="15"/>
        <v>'B20'</v>
      </c>
      <c r="G380" s="12" t="str">
        <f t="shared" si="16"/>
        <v>'Jorge Garcia'</v>
      </c>
      <c r="H380" t="s">
        <v>785</v>
      </c>
      <c r="I380" t="s">
        <v>654</v>
      </c>
      <c r="J380" t="str">
        <f t="shared" si="17"/>
        <v>('B20','Jorge Garcia',1),</v>
      </c>
    </row>
    <row r="381" spans="1:10" x14ac:dyDescent="0.25">
      <c r="A381" t="s">
        <v>756</v>
      </c>
      <c r="B381" t="s">
        <v>757</v>
      </c>
      <c r="C381">
        <v>1</v>
      </c>
      <c r="E381" t="s">
        <v>784</v>
      </c>
      <c r="F381" s="12" t="str">
        <f t="shared" si="15"/>
        <v>'B24'</v>
      </c>
      <c r="G381" s="12" t="str">
        <f t="shared" si="16"/>
        <v>'Jorge Ochoa'</v>
      </c>
      <c r="H381" t="s">
        <v>785</v>
      </c>
      <c r="I381" t="s">
        <v>654</v>
      </c>
      <c r="J381" t="str">
        <f t="shared" si="17"/>
        <v>('B24','Jorge Ochoa',1),</v>
      </c>
    </row>
    <row r="382" spans="1:10" x14ac:dyDescent="0.25">
      <c r="A382" t="s">
        <v>715</v>
      </c>
      <c r="B382" t="s">
        <v>716</v>
      </c>
      <c r="C382">
        <v>1</v>
      </c>
      <c r="E382" t="s">
        <v>784</v>
      </c>
      <c r="F382" s="12" t="str">
        <f t="shared" si="15"/>
        <v>'B03'</v>
      </c>
      <c r="G382" s="12" t="str">
        <f t="shared" si="16"/>
        <v>'Larifrut'</v>
      </c>
      <c r="H382" t="s">
        <v>785</v>
      </c>
      <c r="I382" t="s">
        <v>654</v>
      </c>
      <c r="J382" t="str">
        <f t="shared" si="17"/>
        <v>('B03','Larifrut',1),</v>
      </c>
    </row>
    <row r="383" spans="1:10" x14ac:dyDescent="0.25">
      <c r="A383" t="s">
        <v>717</v>
      </c>
      <c r="B383" t="s">
        <v>718</v>
      </c>
      <c r="C383">
        <v>1</v>
      </c>
      <c r="E383" t="s">
        <v>784</v>
      </c>
      <c r="F383" s="12" t="str">
        <f t="shared" si="15"/>
        <v>'B20'</v>
      </c>
      <c r="G383" s="12" t="str">
        <f t="shared" si="16"/>
        <v>'Jorge Garcia'</v>
      </c>
      <c r="H383" t="s">
        <v>785</v>
      </c>
      <c r="I383" t="s">
        <v>654</v>
      </c>
      <c r="J383" t="str">
        <f t="shared" si="17"/>
        <v>('B20','Jorge Garcia',1),</v>
      </c>
    </row>
    <row r="384" spans="1:10" x14ac:dyDescent="0.25">
      <c r="A384" t="s">
        <v>713</v>
      </c>
      <c r="B384" t="s">
        <v>714</v>
      </c>
      <c r="C384">
        <v>1</v>
      </c>
      <c r="E384" t="s">
        <v>784</v>
      </c>
      <c r="F384" s="12" t="str">
        <f t="shared" si="15"/>
        <v>'B14'</v>
      </c>
      <c r="G384" s="12" t="str">
        <f t="shared" si="16"/>
        <v>'German Gomez'</v>
      </c>
      <c r="H384" t="s">
        <v>785</v>
      </c>
      <c r="I384" t="s">
        <v>654</v>
      </c>
      <c r="J384" t="str">
        <f t="shared" si="17"/>
        <v>('B14','German Gomez',1),</v>
      </c>
    </row>
    <row r="385" spans="1:10" x14ac:dyDescent="0.25">
      <c r="A385" t="s">
        <v>721</v>
      </c>
      <c r="B385" t="s">
        <v>716</v>
      </c>
      <c r="C385">
        <v>1</v>
      </c>
      <c r="E385" t="s">
        <v>784</v>
      </c>
      <c r="F385" s="12" t="str">
        <f t="shared" si="15"/>
        <v>'B15'</v>
      </c>
      <c r="G385" s="12" t="str">
        <f t="shared" si="16"/>
        <v>'Larifrut'</v>
      </c>
      <c r="H385" t="s">
        <v>785</v>
      </c>
      <c r="I385" t="s">
        <v>654</v>
      </c>
      <c r="J385" t="str">
        <f t="shared" si="17"/>
        <v>('B15','Larifrut',1),</v>
      </c>
    </row>
    <row r="386" spans="1:10" x14ac:dyDescent="0.25">
      <c r="A386" t="s">
        <v>715</v>
      </c>
      <c r="B386" t="s">
        <v>716</v>
      </c>
      <c r="C386">
        <v>1</v>
      </c>
      <c r="E386" t="s">
        <v>784</v>
      </c>
      <c r="F386" s="12" t="str">
        <f t="shared" si="15"/>
        <v>'B03'</v>
      </c>
      <c r="G386" s="12" t="str">
        <f t="shared" si="16"/>
        <v>'Larifrut'</v>
      </c>
      <c r="H386" t="s">
        <v>785</v>
      </c>
      <c r="I386" t="s">
        <v>654</v>
      </c>
      <c r="J386" t="str">
        <f t="shared" si="17"/>
        <v>('B03','Larifrut',1),</v>
      </c>
    </row>
    <row r="387" spans="1:10" x14ac:dyDescent="0.25">
      <c r="A387" t="s">
        <v>715</v>
      </c>
      <c r="B387" t="s">
        <v>716</v>
      </c>
      <c r="C387">
        <v>1</v>
      </c>
      <c r="E387" t="s">
        <v>784</v>
      </c>
      <c r="F387" s="12" t="str">
        <f t="shared" ref="F387:F450" si="18">+"'"&amp;A387&amp;"'"</f>
        <v>'B03'</v>
      </c>
      <c r="G387" s="12" t="str">
        <f t="shared" ref="G387:G450" si="19">+"'"&amp;B387&amp;"'"</f>
        <v>'Larifrut'</v>
      </c>
      <c r="H387" t="s">
        <v>785</v>
      </c>
      <c r="I387" t="s">
        <v>654</v>
      </c>
      <c r="J387" t="str">
        <f t="shared" ref="J387:J450" si="20">+E387&amp;F387&amp;I387&amp;G387&amp;I387&amp;C387&amp;H387&amp;I387</f>
        <v>('B03','Larifrut',1),</v>
      </c>
    </row>
    <row r="388" spans="1:10" x14ac:dyDescent="0.25">
      <c r="A388" t="s">
        <v>717</v>
      </c>
      <c r="B388" t="s">
        <v>718</v>
      </c>
      <c r="C388">
        <v>1</v>
      </c>
      <c r="E388" t="s">
        <v>784</v>
      </c>
      <c r="F388" s="12" t="str">
        <f t="shared" si="18"/>
        <v>'B20'</v>
      </c>
      <c r="G388" s="12" t="str">
        <f t="shared" si="19"/>
        <v>'Jorge Garcia'</v>
      </c>
      <c r="H388" t="s">
        <v>785</v>
      </c>
      <c r="I388" t="s">
        <v>654</v>
      </c>
      <c r="J388" t="str">
        <f t="shared" si="20"/>
        <v>('B20','Jorge Garcia',1),</v>
      </c>
    </row>
    <row r="389" spans="1:10" x14ac:dyDescent="0.25">
      <c r="A389" t="s">
        <v>741</v>
      </c>
      <c r="B389" t="s">
        <v>742</v>
      </c>
      <c r="C389">
        <v>1</v>
      </c>
      <c r="E389" t="s">
        <v>784</v>
      </c>
      <c r="F389" s="12" t="str">
        <f t="shared" si="18"/>
        <v>'B04'</v>
      </c>
      <c r="G389" s="12" t="str">
        <f t="shared" si="19"/>
        <v>'Banamac'</v>
      </c>
      <c r="H389" t="s">
        <v>785</v>
      </c>
      <c r="I389" t="s">
        <v>654</v>
      </c>
      <c r="J389" t="str">
        <f t="shared" si="20"/>
        <v>('B04','Banamac',1),</v>
      </c>
    </row>
    <row r="390" spans="1:10" x14ac:dyDescent="0.25">
      <c r="A390" t="s">
        <v>747</v>
      </c>
      <c r="B390" t="s">
        <v>748</v>
      </c>
      <c r="C390">
        <v>1</v>
      </c>
      <c r="E390" t="s">
        <v>784</v>
      </c>
      <c r="F390" s="12" t="str">
        <f t="shared" si="18"/>
        <v>'B21'</v>
      </c>
      <c r="G390" s="12" t="str">
        <f t="shared" si="19"/>
        <v>'Aldo Rincon'</v>
      </c>
      <c r="H390" t="s">
        <v>785</v>
      </c>
      <c r="I390" t="s">
        <v>654</v>
      </c>
      <c r="J390" t="str">
        <f t="shared" si="20"/>
        <v>('B21','Aldo Rincon',1),</v>
      </c>
    </row>
    <row r="391" spans="1:10" x14ac:dyDescent="0.25">
      <c r="A391" t="s">
        <v>717</v>
      </c>
      <c r="B391" t="s">
        <v>718</v>
      </c>
      <c r="C391">
        <v>1</v>
      </c>
      <c r="E391" t="s">
        <v>784</v>
      </c>
      <c r="F391" s="12" t="str">
        <f t="shared" si="18"/>
        <v>'B20'</v>
      </c>
      <c r="G391" s="12" t="str">
        <f t="shared" si="19"/>
        <v>'Jorge Garcia'</v>
      </c>
      <c r="H391" t="s">
        <v>785</v>
      </c>
      <c r="I391" t="s">
        <v>654</v>
      </c>
      <c r="J391" t="str">
        <f t="shared" si="20"/>
        <v>('B20','Jorge Garcia',1),</v>
      </c>
    </row>
    <row r="392" spans="1:10" x14ac:dyDescent="0.25">
      <c r="A392" t="s">
        <v>747</v>
      </c>
      <c r="B392" t="s">
        <v>748</v>
      </c>
      <c r="C392">
        <v>1</v>
      </c>
      <c r="E392" t="s">
        <v>784</v>
      </c>
      <c r="F392" s="12" t="str">
        <f t="shared" si="18"/>
        <v>'B21'</v>
      </c>
      <c r="G392" s="12" t="str">
        <f t="shared" si="19"/>
        <v>'Aldo Rincon'</v>
      </c>
      <c r="H392" t="s">
        <v>785</v>
      </c>
      <c r="I392" t="s">
        <v>654</v>
      </c>
      <c r="J392" t="str">
        <f t="shared" si="20"/>
        <v>('B21','Aldo Rincon',1),</v>
      </c>
    </row>
    <row r="393" spans="1:10" x14ac:dyDescent="0.25">
      <c r="A393" t="s">
        <v>719</v>
      </c>
      <c r="B393" t="s">
        <v>720</v>
      </c>
      <c r="C393">
        <v>1</v>
      </c>
      <c r="E393" t="s">
        <v>784</v>
      </c>
      <c r="F393" s="12" t="str">
        <f t="shared" si="18"/>
        <v>'B06'</v>
      </c>
      <c r="G393" s="12" t="str">
        <f t="shared" si="19"/>
        <v>'Jose Rivera'</v>
      </c>
      <c r="H393" t="s">
        <v>785</v>
      </c>
      <c r="I393" t="s">
        <v>654</v>
      </c>
      <c r="J393" t="str">
        <f t="shared" si="20"/>
        <v>('B06','Jose Rivera',1),</v>
      </c>
    </row>
    <row r="394" spans="1:10" x14ac:dyDescent="0.25">
      <c r="A394" t="s">
        <v>741</v>
      </c>
      <c r="B394" t="s">
        <v>742</v>
      </c>
      <c r="C394">
        <v>1</v>
      </c>
      <c r="E394" t="s">
        <v>784</v>
      </c>
      <c r="F394" s="12" t="str">
        <f t="shared" si="18"/>
        <v>'B04'</v>
      </c>
      <c r="G394" s="12" t="str">
        <f t="shared" si="19"/>
        <v>'Banamac'</v>
      </c>
      <c r="H394" t="s">
        <v>785</v>
      </c>
      <c r="I394" t="s">
        <v>654</v>
      </c>
      <c r="J394" t="str">
        <f t="shared" si="20"/>
        <v>('B04','Banamac',1),</v>
      </c>
    </row>
    <row r="395" spans="1:10" x14ac:dyDescent="0.25">
      <c r="A395" t="s">
        <v>707</v>
      </c>
      <c r="B395" t="s">
        <v>708</v>
      </c>
      <c r="C395">
        <v>1</v>
      </c>
      <c r="E395" t="s">
        <v>784</v>
      </c>
      <c r="F395" s="12" t="str">
        <f t="shared" si="18"/>
        <v>'B01'</v>
      </c>
      <c r="G395" s="12" t="str">
        <f t="shared" si="19"/>
        <v>'Ricamp'</v>
      </c>
      <c r="H395" t="s">
        <v>785</v>
      </c>
      <c r="I395" t="s">
        <v>654</v>
      </c>
      <c r="J395" t="str">
        <f t="shared" si="20"/>
        <v>('B01','Ricamp',1),</v>
      </c>
    </row>
    <row r="396" spans="1:10" x14ac:dyDescent="0.25">
      <c r="A396" t="s">
        <v>719</v>
      </c>
      <c r="B396" t="s">
        <v>720</v>
      </c>
      <c r="C396">
        <v>1</v>
      </c>
      <c r="E396" t="s">
        <v>784</v>
      </c>
      <c r="F396" s="12" t="str">
        <f t="shared" si="18"/>
        <v>'B06'</v>
      </c>
      <c r="G396" s="12" t="str">
        <f t="shared" si="19"/>
        <v>'Jose Rivera'</v>
      </c>
      <c r="H396" t="s">
        <v>785</v>
      </c>
      <c r="I396" t="s">
        <v>654</v>
      </c>
      <c r="J396" t="str">
        <f t="shared" si="20"/>
        <v>('B06','Jose Rivera',1),</v>
      </c>
    </row>
    <row r="397" spans="1:10" x14ac:dyDescent="0.25">
      <c r="A397" t="s">
        <v>719</v>
      </c>
      <c r="B397" t="s">
        <v>720</v>
      </c>
      <c r="C397">
        <v>1</v>
      </c>
      <c r="E397" t="s">
        <v>784</v>
      </c>
      <c r="F397" s="12" t="str">
        <f t="shared" si="18"/>
        <v>'B06'</v>
      </c>
      <c r="G397" s="12" t="str">
        <f t="shared" si="19"/>
        <v>'Jose Rivera'</v>
      </c>
      <c r="H397" t="s">
        <v>785</v>
      </c>
      <c r="I397" t="s">
        <v>654</v>
      </c>
      <c r="J397" t="str">
        <f t="shared" si="20"/>
        <v>('B06','Jose Rivera',1),</v>
      </c>
    </row>
    <row r="398" spans="1:10" x14ac:dyDescent="0.25">
      <c r="A398" t="s">
        <v>727</v>
      </c>
      <c r="B398" t="s">
        <v>728</v>
      </c>
      <c r="C398">
        <v>1</v>
      </c>
      <c r="E398" t="s">
        <v>784</v>
      </c>
      <c r="F398" s="12" t="str">
        <f t="shared" si="18"/>
        <v>'C01'</v>
      </c>
      <c r="G398" s="12" t="str">
        <f t="shared" si="19"/>
        <v>'Finca Genesis'</v>
      </c>
      <c r="H398" t="s">
        <v>785</v>
      </c>
      <c r="I398" t="s">
        <v>654</v>
      </c>
      <c r="J398" t="str">
        <f t="shared" si="20"/>
        <v>('C01','Finca Genesis',1),</v>
      </c>
    </row>
    <row r="399" spans="1:10" x14ac:dyDescent="0.25">
      <c r="A399" t="s">
        <v>727</v>
      </c>
      <c r="B399" t="s">
        <v>728</v>
      </c>
      <c r="C399">
        <v>1</v>
      </c>
      <c r="E399" t="s">
        <v>784</v>
      </c>
      <c r="F399" s="12" t="str">
        <f t="shared" si="18"/>
        <v>'C01'</v>
      </c>
      <c r="G399" s="12" t="str">
        <f t="shared" si="19"/>
        <v>'Finca Genesis'</v>
      </c>
      <c r="H399" t="s">
        <v>785</v>
      </c>
      <c r="I399" t="s">
        <v>654</v>
      </c>
      <c r="J399" t="str">
        <f t="shared" si="20"/>
        <v>('C01','Finca Genesis',1),</v>
      </c>
    </row>
    <row r="400" spans="1:10" x14ac:dyDescent="0.25">
      <c r="A400" t="s">
        <v>727</v>
      </c>
      <c r="B400" t="s">
        <v>728</v>
      </c>
      <c r="C400">
        <v>1</v>
      </c>
      <c r="E400" t="s">
        <v>784</v>
      </c>
      <c r="F400" s="12" t="str">
        <f t="shared" si="18"/>
        <v>'C01'</v>
      </c>
      <c r="G400" s="12" t="str">
        <f t="shared" si="19"/>
        <v>'Finca Genesis'</v>
      </c>
      <c r="H400" t="s">
        <v>785</v>
      </c>
      <c r="I400" t="s">
        <v>654</v>
      </c>
      <c r="J400" t="str">
        <f t="shared" si="20"/>
        <v>('C01','Finca Genesis',1),</v>
      </c>
    </row>
    <row r="401" spans="1:10" x14ac:dyDescent="0.25">
      <c r="A401" t="s">
        <v>727</v>
      </c>
      <c r="B401" t="s">
        <v>728</v>
      </c>
      <c r="C401">
        <v>1</v>
      </c>
      <c r="E401" t="s">
        <v>784</v>
      </c>
      <c r="F401" s="12" t="str">
        <f t="shared" si="18"/>
        <v>'C01'</v>
      </c>
      <c r="G401" s="12" t="str">
        <f t="shared" si="19"/>
        <v>'Finca Genesis'</v>
      </c>
      <c r="H401" t="s">
        <v>785</v>
      </c>
      <c r="I401" t="s">
        <v>654</v>
      </c>
      <c r="J401" t="str">
        <f t="shared" si="20"/>
        <v>('C01','Finca Genesis',1),</v>
      </c>
    </row>
    <row r="402" spans="1:10" x14ac:dyDescent="0.25">
      <c r="A402" t="s">
        <v>842</v>
      </c>
      <c r="B402" t="s">
        <v>843</v>
      </c>
      <c r="C402">
        <v>1</v>
      </c>
      <c r="E402" t="s">
        <v>784</v>
      </c>
      <c r="F402" s="12" t="str">
        <f t="shared" si="18"/>
        <v>'C02'</v>
      </c>
      <c r="G402" s="12" t="str">
        <f t="shared" si="19"/>
        <v>'Antonio Cruz'</v>
      </c>
      <c r="H402" t="s">
        <v>785</v>
      </c>
      <c r="I402" t="s">
        <v>654</v>
      </c>
      <c r="J402" t="str">
        <f t="shared" si="20"/>
        <v>('C02','Antonio Cruz',1),</v>
      </c>
    </row>
    <row r="403" spans="1:10" x14ac:dyDescent="0.25">
      <c r="A403" t="s">
        <v>760</v>
      </c>
      <c r="B403" t="s">
        <v>761</v>
      </c>
      <c r="C403">
        <v>1</v>
      </c>
      <c r="E403" t="s">
        <v>784</v>
      </c>
      <c r="F403" s="12" t="str">
        <f t="shared" si="18"/>
        <v>'C20'</v>
      </c>
      <c r="G403" s="12" t="str">
        <f t="shared" si="19"/>
        <v>'Mardonio Morales Luna'</v>
      </c>
      <c r="H403" t="s">
        <v>785</v>
      </c>
      <c r="I403" t="s">
        <v>654</v>
      </c>
      <c r="J403" t="str">
        <f t="shared" si="20"/>
        <v>('C20','Mardonio Morales Luna',1),</v>
      </c>
    </row>
    <row r="404" spans="1:10" x14ac:dyDescent="0.25">
      <c r="C404">
        <v>1</v>
      </c>
      <c r="E404" t="s">
        <v>784</v>
      </c>
      <c r="F404" s="12" t="str">
        <f t="shared" si="18"/>
        <v>''</v>
      </c>
      <c r="G404" s="12" t="str">
        <f t="shared" si="19"/>
        <v>''</v>
      </c>
      <c r="H404" t="s">
        <v>785</v>
      </c>
      <c r="I404" t="s">
        <v>654</v>
      </c>
      <c r="J404" t="str">
        <f t="shared" si="20"/>
        <v>('','',1),</v>
      </c>
    </row>
    <row r="405" spans="1:10" x14ac:dyDescent="0.25">
      <c r="A405" t="s">
        <v>842</v>
      </c>
      <c r="B405" t="s">
        <v>843</v>
      </c>
      <c r="C405">
        <v>1</v>
      </c>
      <c r="E405" t="s">
        <v>784</v>
      </c>
      <c r="F405" s="12" t="str">
        <f t="shared" si="18"/>
        <v>'C02'</v>
      </c>
      <c r="G405" s="12" t="str">
        <f t="shared" si="19"/>
        <v>'Antonio Cruz'</v>
      </c>
      <c r="H405" t="s">
        <v>785</v>
      </c>
      <c r="I405" t="s">
        <v>654</v>
      </c>
      <c r="J405" t="str">
        <f t="shared" si="20"/>
        <v>('C02','Antonio Cruz',1),</v>
      </c>
    </row>
    <row r="406" spans="1:10" x14ac:dyDescent="0.25">
      <c r="C406">
        <v>1</v>
      </c>
      <c r="E406" t="s">
        <v>784</v>
      </c>
      <c r="F406" s="12" t="str">
        <f t="shared" si="18"/>
        <v>''</v>
      </c>
      <c r="G406" s="12" t="str">
        <f t="shared" si="19"/>
        <v>''</v>
      </c>
      <c r="H406" t="s">
        <v>785</v>
      </c>
      <c r="I406" t="s">
        <v>654</v>
      </c>
      <c r="J406" t="str">
        <f t="shared" si="20"/>
        <v>('','',1),</v>
      </c>
    </row>
    <row r="407" spans="1:10" x14ac:dyDescent="0.25">
      <c r="C407">
        <v>1</v>
      </c>
      <c r="E407" t="s">
        <v>784</v>
      </c>
      <c r="F407" s="12" t="str">
        <f t="shared" si="18"/>
        <v>''</v>
      </c>
      <c r="G407" s="12" t="str">
        <f t="shared" si="19"/>
        <v>''</v>
      </c>
      <c r="H407" t="s">
        <v>785</v>
      </c>
      <c r="I407" t="s">
        <v>654</v>
      </c>
      <c r="J407" t="str">
        <f t="shared" si="20"/>
        <v>('','',1),</v>
      </c>
    </row>
    <row r="408" spans="1:10" x14ac:dyDescent="0.25">
      <c r="C408">
        <v>1</v>
      </c>
      <c r="E408" t="s">
        <v>784</v>
      </c>
      <c r="F408" s="12" t="str">
        <f t="shared" si="18"/>
        <v>''</v>
      </c>
      <c r="G408" s="12" t="str">
        <f t="shared" si="19"/>
        <v>''</v>
      </c>
      <c r="H408" t="s">
        <v>785</v>
      </c>
      <c r="I408" t="s">
        <v>654</v>
      </c>
      <c r="J408" t="str">
        <f t="shared" si="20"/>
        <v>('','',1),</v>
      </c>
    </row>
    <row r="409" spans="1:10" x14ac:dyDescent="0.25">
      <c r="C409">
        <v>1</v>
      </c>
      <c r="E409" t="s">
        <v>784</v>
      </c>
      <c r="F409" s="12" t="str">
        <f t="shared" si="18"/>
        <v>''</v>
      </c>
      <c r="G409" s="12" t="str">
        <f t="shared" si="19"/>
        <v>''</v>
      </c>
      <c r="H409" t="s">
        <v>785</v>
      </c>
      <c r="I409" t="s">
        <v>654</v>
      </c>
      <c r="J409" t="str">
        <f t="shared" si="20"/>
        <v>('','',1),</v>
      </c>
    </row>
    <row r="410" spans="1:10" x14ac:dyDescent="0.25">
      <c r="C410">
        <v>1</v>
      </c>
      <c r="E410" t="s">
        <v>784</v>
      </c>
      <c r="F410" s="12" t="str">
        <f t="shared" si="18"/>
        <v>''</v>
      </c>
      <c r="G410" s="12" t="str">
        <f t="shared" si="19"/>
        <v>''</v>
      </c>
      <c r="H410" t="s">
        <v>785</v>
      </c>
      <c r="I410" t="s">
        <v>654</v>
      </c>
      <c r="J410" t="str">
        <f t="shared" si="20"/>
        <v>('','',1),</v>
      </c>
    </row>
    <row r="411" spans="1:10" x14ac:dyDescent="0.25">
      <c r="C411">
        <v>1</v>
      </c>
      <c r="E411" t="s">
        <v>784</v>
      </c>
      <c r="F411" s="12" t="str">
        <f t="shared" si="18"/>
        <v>''</v>
      </c>
      <c r="G411" s="12" t="str">
        <f t="shared" si="19"/>
        <v>''</v>
      </c>
      <c r="H411" t="s">
        <v>785</v>
      </c>
      <c r="I411" t="s">
        <v>654</v>
      </c>
      <c r="J411" t="str">
        <f t="shared" si="20"/>
        <v>('','',1),</v>
      </c>
    </row>
    <row r="412" spans="1:10" x14ac:dyDescent="0.25">
      <c r="C412">
        <v>1</v>
      </c>
      <c r="E412" t="s">
        <v>784</v>
      </c>
      <c r="F412" s="12" t="str">
        <f t="shared" si="18"/>
        <v>''</v>
      </c>
      <c r="G412" s="12" t="str">
        <f t="shared" si="19"/>
        <v>''</v>
      </c>
      <c r="H412" t="s">
        <v>785</v>
      </c>
      <c r="I412" t="s">
        <v>654</v>
      </c>
      <c r="J412" t="str">
        <f t="shared" si="20"/>
        <v>('','',1),</v>
      </c>
    </row>
    <row r="413" spans="1:10" x14ac:dyDescent="0.25">
      <c r="C413">
        <v>1</v>
      </c>
      <c r="E413" t="s">
        <v>784</v>
      </c>
      <c r="F413" s="12" t="str">
        <f t="shared" si="18"/>
        <v>''</v>
      </c>
      <c r="G413" s="12" t="str">
        <f t="shared" si="19"/>
        <v>''</v>
      </c>
      <c r="H413" t="s">
        <v>785</v>
      </c>
      <c r="I413" t="s">
        <v>654</v>
      </c>
      <c r="J413" t="str">
        <f t="shared" si="20"/>
        <v>('','',1),</v>
      </c>
    </row>
    <row r="414" spans="1:10" x14ac:dyDescent="0.25">
      <c r="C414">
        <v>1</v>
      </c>
      <c r="E414" t="s">
        <v>784</v>
      </c>
      <c r="F414" s="12" t="str">
        <f t="shared" si="18"/>
        <v>''</v>
      </c>
      <c r="G414" s="12" t="str">
        <f t="shared" si="19"/>
        <v>''</v>
      </c>
      <c r="H414" t="s">
        <v>785</v>
      </c>
      <c r="I414" t="s">
        <v>654</v>
      </c>
      <c r="J414" t="str">
        <f t="shared" si="20"/>
        <v>('','',1),</v>
      </c>
    </row>
    <row r="415" spans="1:10" x14ac:dyDescent="0.25">
      <c r="C415">
        <v>1</v>
      </c>
      <c r="E415" t="s">
        <v>784</v>
      </c>
      <c r="F415" s="12" t="str">
        <f t="shared" si="18"/>
        <v>''</v>
      </c>
      <c r="G415" s="12" t="str">
        <f t="shared" si="19"/>
        <v>''</v>
      </c>
      <c r="H415" t="s">
        <v>785</v>
      </c>
      <c r="I415" t="s">
        <v>654</v>
      </c>
      <c r="J415" t="str">
        <f t="shared" si="20"/>
        <v>('','',1),</v>
      </c>
    </row>
    <row r="416" spans="1:10" x14ac:dyDescent="0.25">
      <c r="C416">
        <v>1</v>
      </c>
      <c r="E416" t="s">
        <v>784</v>
      </c>
      <c r="F416" s="12" t="str">
        <f t="shared" si="18"/>
        <v>''</v>
      </c>
      <c r="G416" s="12" t="str">
        <f t="shared" si="19"/>
        <v>''</v>
      </c>
      <c r="H416" t="s">
        <v>785</v>
      </c>
      <c r="I416" t="s">
        <v>654</v>
      </c>
      <c r="J416" t="str">
        <f t="shared" si="20"/>
        <v>('','',1),</v>
      </c>
    </row>
    <row r="417" spans="1:10" x14ac:dyDescent="0.25">
      <c r="A417" t="s">
        <v>768</v>
      </c>
      <c r="B417" t="s">
        <v>769</v>
      </c>
      <c r="C417">
        <v>1</v>
      </c>
      <c r="E417" t="s">
        <v>784</v>
      </c>
      <c r="F417" s="12" t="str">
        <f t="shared" si="18"/>
        <v>'C04'</v>
      </c>
      <c r="G417" s="12" t="str">
        <f t="shared" si="19"/>
        <v>'Jesus Castro'</v>
      </c>
      <c r="H417" t="s">
        <v>785</v>
      </c>
      <c r="I417" t="s">
        <v>654</v>
      </c>
      <c r="J417" t="str">
        <f t="shared" si="20"/>
        <v>('C04','Jesus Castro',1),</v>
      </c>
    </row>
    <row r="418" spans="1:10" x14ac:dyDescent="0.25">
      <c r="C418">
        <v>1</v>
      </c>
      <c r="E418" t="s">
        <v>784</v>
      </c>
      <c r="F418" s="12" t="str">
        <f t="shared" si="18"/>
        <v>''</v>
      </c>
      <c r="G418" s="12" t="str">
        <f t="shared" si="19"/>
        <v>''</v>
      </c>
      <c r="H418" t="s">
        <v>785</v>
      </c>
      <c r="I418" t="s">
        <v>654</v>
      </c>
      <c r="J418" t="str">
        <f t="shared" si="20"/>
        <v>('','',1),</v>
      </c>
    </row>
    <row r="419" spans="1:10" x14ac:dyDescent="0.25">
      <c r="C419">
        <v>1</v>
      </c>
      <c r="E419" t="s">
        <v>784</v>
      </c>
      <c r="F419" s="12" t="str">
        <f t="shared" si="18"/>
        <v>''</v>
      </c>
      <c r="G419" s="12" t="str">
        <f t="shared" si="19"/>
        <v>''</v>
      </c>
      <c r="H419" t="s">
        <v>785</v>
      </c>
      <c r="I419" t="s">
        <v>654</v>
      </c>
      <c r="J419" t="str">
        <f t="shared" si="20"/>
        <v>('','',1),</v>
      </c>
    </row>
    <row r="420" spans="1:10" x14ac:dyDescent="0.25">
      <c r="A420" t="s">
        <v>725</v>
      </c>
      <c r="B420" t="s">
        <v>726</v>
      </c>
      <c r="C420">
        <v>1</v>
      </c>
      <c r="E420" t="s">
        <v>784</v>
      </c>
      <c r="F420" s="12" t="str">
        <f t="shared" si="18"/>
        <v>'C05'</v>
      </c>
      <c r="G420" s="12" t="str">
        <f t="shared" si="19"/>
        <v>'Luis Olguin'</v>
      </c>
      <c r="H420" t="s">
        <v>785</v>
      </c>
      <c r="I420" t="s">
        <v>654</v>
      </c>
      <c r="J420" t="str">
        <f t="shared" si="20"/>
        <v>('C05','Luis Olguin',1),</v>
      </c>
    </row>
    <row r="421" spans="1:10" x14ac:dyDescent="0.25">
      <c r="A421" t="s">
        <v>725</v>
      </c>
      <c r="B421" t="s">
        <v>726</v>
      </c>
      <c r="C421">
        <v>1</v>
      </c>
      <c r="E421" t="s">
        <v>784</v>
      </c>
      <c r="F421" s="12" t="str">
        <f t="shared" si="18"/>
        <v>'C05'</v>
      </c>
      <c r="G421" s="12" t="str">
        <f t="shared" si="19"/>
        <v>'Luis Olguin'</v>
      </c>
      <c r="H421" t="s">
        <v>785</v>
      </c>
      <c r="I421" t="s">
        <v>654</v>
      </c>
      <c r="J421" t="str">
        <f t="shared" si="20"/>
        <v>('C05','Luis Olguin',1),</v>
      </c>
    </row>
    <row r="422" spans="1:10" x14ac:dyDescent="0.25">
      <c r="C422">
        <v>1</v>
      </c>
      <c r="E422" t="s">
        <v>784</v>
      </c>
      <c r="F422" s="12" t="str">
        <f t="shared" si="18"/>
        <v>''</v>
      </c>
      <c r="G422" s="12" t="str">
        <f t="shared" si="19"/>
        <v>''</v>
      </c>
      <c r="H422" t="s">
        <v>785</v>
      </c>
      <c r="I422" t="s">
        <v>654</v>
      </c>
      <c r="J422" t="str">
        <f t="shared" si="20"/>
        <v>('','',1),</v>
      </c>
    </row>
    <row r="423" spans="1:10" x14ac:dyDescent="0.25">
      <c r="C423">
        <v>1</v>
      </c>
      <c r="E423" t="s">
        <v>784</v>
      </c>
      <c r="F423" s="12" t="str">
        <f t="shared" si="18"/>
        <v>''</v>
      </c>
      <c r="G423" s="12" t="str">
        <f t="shared" si="19"/>
        <v>''</v>
      </c>
      <c r="H423" t="s">
        <v>785</v>
      </c>
      <c r="I423" t="s">
        <v>654</v>
      </c>
      <c r="J423" t="str">
        <f t="shared" si="20"/>
        <v>('','',1),</v>
      </c>
    </row>
    <row r="424" spans="1:10" x14ac:dyDescent="0.25">
      <c r="C424">
        <v>1</v>
      </c>
      <c r="E424" t="s">
        <v>784</v>
      </c>
      <c r="F424" s="12" t="str">
        <f t="shared" si="18"/>
        <v>''</v>
      </c>
      <c r="G424" s="12" t="str">
        <f t="shared" si="19"/>
        <v>''</v>
      </c>
      <c r="H424" t="s">
        <v>785</v>
      </c>
      <c r="I424" t="s">
        <v>654</v>
      </c>
      <c r="J424" t="str">
        <f t="shared" si="20"/>
        <v>('','',1),</v>
      </c>
    </row>
    <row r="425" spans="1:10" x14ac:dyDescent="0.25">
      <c r="A425" t="s">
        <v>844</v>
      </c>
      <c r="B425" t="s">
        <v>767</v>
      </c>
      <c r="C425">
        <v>1</v>
      </c>
      <c r="E425" t="s">
        <v>784</v>
      </c>
      <c r="F425" s="12" t="str">
        <f t="shared" si="18"/>
        <v>'C14'</v>
      </c>
      <c r="G425" s="12" t="str">
        <f t="shared" si="19"/>
        <v>'Fernando Cano'</v>
      </c>
      <c r="H425" t="s">
        <v>785</v>
      </c>
      <c r="I425" t="s">
        <v>654</v>
      </c>
      <c r="J425" t="str">
        <f t="shared" si="20"/>
        <v>('C14','Fernando Cano',1),</v>
      </c>
    </row>
    <row r="426" spans="1:10" x14ac:dyDescent="0.25">
      <c r="C426">
        <v>1</v>
      </c>
      <c r="E426" t="s">
        <v>784</v>
      </c>
      <c r="F426" s="12" t="str">
        <f t="shared" si="18"/>
        <v>''</v>
      </c>
      <c r="G426" s="12" t="str">
        <f t="shared" si="19"/>
        <v>''</v>
      </c>
      <c r="H426" t="s">
        <v>785</v>
      </c>
      <c r="I426" t="s">
        <v>654</v>
      </c>
      <c r="J426" t="str">
        <f t="shared" si="20"/>
        <v>('','',1),</v>
      </c>
    </row>
    <row r="427" spans="1:10" x14ac:dyDescent="0.25">
      <c r="C427">
        <v>1</v>
      </c>
      <c r="E427" t="s">
        <v>784</v>
      </c>
      <c r="F427" s="12" t="str">
        <f t="shared" si="18"/>
        <v>''</v>
      </c>
      <c r="G427" s="12" t="str">
        <f t="shared" si="19"/>
        <v>''</v>
      </c>
      <c r="H427" t="s">
        <v>785</v>
      </c>
      <c r="I427" t="s">
        <v>654</v>
      </c>
      <c r="J427" t="str">
        <f t="shared" si="20"/>
        <v>('','',1),</v>
      </c>
    </row>
    <row r="428" spans="1:10" x14ac:dyDescent="0.25">
      <c r="A428" t="s">
        <v>758</v>
      </c>
      <c r="B428" t="s">
        <v>759</v>
      </c>
      <c r="C428">
        <v>1</v>
      </c>
      <c r="E428" t="s">
        <v>784</v>
      </c>
      <c r="F428" s="12" t="str">
        <f t="shared" si="18"/>
        <v>'C09'</v>
      </c>
      <c r="G428" s="12" t="str">
        <f t="shared" si="19"/>
        <v>'Josefa Gonzales'</v>
      </c>
      <c r="H428" t="s">
        <v>785</v>
      </c>
      <c r="I428" t="s">
        <v>654</v>
      </c>
      <c r="J428" t="str">
        <f t="shared" si="20"/>
        <v>('C09','Josefa Gonzales',1),</v>
      </c>
    </row>
    <row r="429" spans="1:10" x14ac:dyDescent="0.25">
      <c r="C429">
        <v>1</v>
      </c>
      <c r="E429" t="s">
        <v>784</v>
      </c>
      <c r="F429" s="12" t="str">
        <f t="shared" si="18"/>
        <v>''</v>
      </c>
      <c r="G429" s="12" t="str">
        <f t="shared" si="19"/>
        <v>''</v>
      </c>
      <c r="H429" t="s">
        <v>785</v>
      </c>
      <c r="I429" t="s">
        <v>654</v>
      </c>
      <c r="J429" t="str">
        <f t="shared" si="20"/>
        <v>('','',1),</v>
      </c>
    </row>
    <row r="430" spans="1:10" x14ac:dyDescent="0.25">
      <c r="A430" t="s">
        <v>764</v>
      </c>
      <c r="B430" t="s">
        <v>765</v>
      </c>
      <c r="C430">
        <v>1</v>
      </c>
      <c r="E430" t="s">
        <v>784</v>
      </c>
      <c r="F430" s="12" t="str">
        <f t="shared" si="18"/>
        <v>'C16'</v>
      </c>
      <c r="G430" s="12" t="str">
        <f t="shared" si="19"/>
        <v>'Fabiola Pedrero'</v>
      </c>
      <c r="H430" t="s">
        <v>785</v>
      </c>
      <c r="I430" t="s">
        <v>654</v>
      </c>
      <c r="J430" t="str">
        <f t="shared" si="20"/>
        <v>('C16','Fabiola Pedrero',1),</v>
      </c>
    </row>
    <row r="431" spans="1:10" x14ac:dyDescent="0.25">
      <c r="A431" t="s">
        <v>739</v>
      </c>
      <c r="B431" t="s">
        <v>740</v>
      </c>
      <c r="C431">
        <v>1</v>
      </c>
      <c r="E431" t="s">
        <v>784</v>
      </c>
      <c r="F431" s="12" t="str">
        <f t="shared" si="18"/>
        <v>'C11'</v>
      </c>
      <c r="G431" s="12" t="str">
        <f t="shared" si="19"/>
        <v>'Javier Moreno'</v>
      </c>
      <c r="H431" t="s">
        <v>785</v>
      </c>
      <c r="I431" t="s">
        <v>654</v>
      </c>
      <c r="J431" t="str">
        <f t="shared" si="20"/>
        <v>('C11','Javier Moreno',1),</v>
      </c>
    </row>
    <row r="432" spans="1:10" x14ac:dyDescent="0.25">
      <c r="C432">
        <v>1</v>
      </c>
      <c r="E432" t="s">
        <v>784</v>
      </c>
      <c r="F432" s="12" t="str">
        <f t="shared" si="18"/>
        <v>''</v>
      </c>
      <c r="G432" s="12" t="str">
        <f t="shared" si="19"/>
        <v>''</v>
      </c>
      <c r="H432" t="s">
        <v>785</v>
      </c>
      <c r="I432" t="s">
        <v>654</v>
      </c>
      <c r="J432" t="str">
        <f t="shared" si="20"/>
        <v>('','',1),</v>
      </c>
    </row>
    <row r="433" spans="1:10" x14ac:dyDescent="0.25">
      <c r="C433">
        <v>1</v>
      </c>
      <c r="E433" t="s">
        <v>784</v>
      </c>
      <c r="F433" s="12" t="str">
        <f t="shared" si="18"/>
        <v>''</v>
      </c>
      <c r="G433" s="12" t="str">
        <f t="shared" si="19"/>
        <v>''</v>
      </c>
      <c r="H433" t="s">
        <v>785</v>
      </c>
      <c r="I433" t="s">
        <v>654</v>
      </c>
      <c r="J433" t="str">
        <f t="shared" si="20"/>
        <v>('','',1),</v>
      </c>
    </row>
    <row r="434" spans="1:10" x14ac:dyDescent="0.25">
      <c r="C434">
        <v>1</v>
      </c>
      <c r="E434" t="s">
        <v>784</v>
      </c>
      <c r="F434" s="12" t="str">
        <f t="shared" si="18"/>
        <v>''</v>
      </c>
      <c r="G434" s="12" t="str">
        <f t="shared" si="19"/>
        <v>''</v>
      </c>
      <c r="H434" t="s">
        <v>785</v>
      </c>
      <c r="I434" t="s">
        <v>654</v>
      </c>
      <c r="J434" t="str">
        <f t="shared" si="20"/>
        <v>('','',1),</v>
      </c>
    </row>
    <row r="435" spans="1:10" x14ac:dyDescent="0.25">
      <c r="A435" t="s">
        <v>844</v>
      </c>
      <c r="B435" t="s">
        <v>767</v>
      </c>
      <c r="C435">
        <v>1</v>
      </c>
      <c r="E435" t="s">
        <v>784</v>
      </c>
      <c r="F435" s="12" t="str">
        <f t="shared" si="18"/>
        <v>'C14'</v>
      </c>
      <c r="G435" s="12" t="str">
        <f t="shared" si="19"/>
        <v>'Fernando Cano'</v>
      </c>
      <c r="H435" t="s">
        <v>785</v>
      </c>
      <c r="I435" t="s">
        <v>654</v>
      </c>
      <c r="J435" t="str">
        <f t="shared" si="20"/>
        <v>('C14','Fernando Cano',1),</v>
      </c>
    </row>
    <row r="436" spans="1:10" x14ac:dyDescent="0.25">
      <c r="C436">
        <v>1</v>
      </c>
      <c r="E436" t="s">
        <v>784</v>
      </c>
      <c r="F436" s="12" t="str">
        <f t="shared" si="18"/>
        <v>''</v>
      </c>
      <c r="G436" s="12" t="str">
        <f t="shared" si="19"/>
        <v>''</v>
      </c>
      <c r="H436" t="s">
        <v>785</v>
      </c>
      <c r="I436" t="s">
        <v>654</v>
      </c>
      <c r="J436" t="str">
        <f t="shared" si="20"/>
        <v>('','',1),</v>
      </c>
    </row>
    <row r="437" spans="1:10" x14ac:dyDescent="0.25">
      <c r="C437">
        <v>1</v>
      </c>
      <c r="E437" t="s">
        <v>784</v>
      </c>
      <c r="F437" s="12" t="str">
        <f t="shared" si="18"/>
        <v>''</v>
      </c>
      <c r="G437" s="12" t="str">
        <f t="shared" si="19"/>
        <v>''</v>
      </c>
      <c r="H437" t="s">
        <v>785</v>
      </c>
      <c r="I437" t="s">
        <v>654</v>
      </c>
      <c r="J437" t="str">
        <f t="shared" si="20"/>
        <v>('','',1),</v>
      </c>
    </row>
    <row r="438" spans="1:10" x14ac:dyDescent="0.25">
      <c r="C438">
        <v>1</v>
      </c>
      <c r="E438" t="s">
        <v>784</v>
      </c>
      <c r="F438" s="12" t="str">
        <f t="shared" si="18"/>
        <v>''</v>
      </c>
      <c r="G438" s="12" t="str">
        <f t="shared" si="19"/>
        <v>''</v>
      </c>
      <c r="H438" t="s">
        <v>785</v>
      </c>
      <c r="I438" t="s">
        <v>654</v>
      </c>
      <c r="J438" t="str">
        <f t="shared" si="20"/>
        <v>('','',1),</v>
      </c>
    </row>
    <row r="439" spans="1:10" x14ac:dyDescent="0.25">
      <c r="A439" t="s">
        <v>845</v>
      </c>
      <c r="B439" t="s">
        <v>733</v>
      </c>
      <c r="C439">
        <v>1</v>
      </c>
      <c r="E439" t="s">
        <v>784</v>
      </c>
      <c r="F439" s="12" t="str">
        <f t="shared" si="18"/>
        <v>'C17'</v>
      </c>
      <c r="G439" s="12" t="str">
        <f t="shared" si="19"/>
        <v>'Herbert Blanco'</v>
      </c>
      <c r="H439" t="s">
        <v>785</v>
      </c>
      <c r="I439" t="s">
        <v>654</v>
      </c>
      <c r="J439" t="str">
        <f t="shared" si="20"/>
        <v>('C17','Herbert Blanco',1),</v>
      </c>
    </row>
    <row r="440" spans="1:10" x14ac:dyDescent="0.25">
      <c r="A440" t="s">
        <v>766</v>
      </c>
      <c r="B440" t="s">
        <v>767</v>
      </c>
      <c r="C440">
        <v>1</v>
      </c>
      <c r="E440" t="s">
        <v>784</v>
      </c>
      <c r="F440" s="12" t="str">
        <f t="shared" si="18"/>
        <v>'C07'</v>
      </c>
      <c r="G440" s="12" t="str">
        <f t="shared" si="19"/>
        <v>'Fernando Cano'</v>
      </c>
      <c r="H440" t="s">
        <v>785</v>
      </c>
      <c r="I440" t="s">
        <v>654</v>
      </c>
      <c r="J440" t="str">
        <f t="shared" si="20"/>
        <v>('C07','Fernando Cano',1),</v>
      </c>
    </row>
    <row r="441" spans="1:10" x14ac:dyDescent="0.25">
      <c r="A441" t="s">
        <v>729</v>
      </c>
      <c r="B441" t="s">
        <v>846</v>
      </c>
      <c r="C441">
        <v>1</v>
      </c>
      <c r="E441" t="s">
        <v>784</v>
      </c>
      <c r="F441" s="12" t="str">
        <f t="shared" si="18"/>
        <v>'C18'</v>
      </c>
      <c r="G441" s="12" t="str">
        <f t="shared" si="19"/>
        <v>'Felipe de jesus Cervantes Ledezma'</v>
      </c>
      <c r="H441" t="s">
        <v>785</v>
      </c>
      <c r="I441" t="s">
        <v>654</v>
      </c>
      <c r="J441" t="str">
        <f t="shared" si="20"/>
        <v>('C18','Felipe de jesus Cervantes Ledezma',1),</v>
      </c>
    </row>
    <row r="442" spans="1:10" x14ac:dyDescent="0.25">
      <c r="A442" t="s">
        <v>729</v>
      </c>
      <c r="B442" t="s">
        <v>846</v>
      </c>
      <c r="C442">
        <v>1</v>
      </c>
      <c r="E442" t="s">
        <v>784</v>
      </c>
      <c r="F442" s="12" t="str">
        <f t="shared" si="18"/>
        <v>'C18'</v>
      </c>
      <c r="G442" s="12" t="str">
        <f t="shared" si="19"/>
        <v>'Felipe de jesus Cervantes Ledezma'</v>
      </c>
      <c r="H442" t="s">
        <v>785</v>
      </c>
      <c r="I442" t="s">
        <v>654</v>
      </c>
      <c r="J442" t="str">
        <f t="shared" si="20"/>
        <v>('C18','Felipe de jesus Cervantes Ledezma',1),</v>
      </c>
    </row>
    <row r="443" spans="1:10" x14ac:dyDescent="0.25">
      <c r="A443" t="s">
        <v>730</v>
      </c>
      <c r="B443" t="s">
        <v>731</v>
      </c>
      <c r="C443">
        <v>1</v>
      </c>
      <c r="E443" t="s">
        <v>784</v>
      </c>
      <c r="F443" s="12" t="str">
        <f t="shared" si="18"/>
        <v>'C19'</v>
      </c>
      <c r="G443" s="12" t="str">
        <f t="shared" si="19"/>
        <v>'Felipe Martinez Ruiz'</v>
      </c>
      <c r="H443" t="s">
        <v>785</v>
      </c>
      <c r="I443" t="s">
        <v>654</v>
      </c>
      <c r="J443" t="str">
        <f t="shared" si="20"/>
        <v>('C19','Felipe Martinez Ruiz',1),</v>
      </c>
    </row>
    <row r="444" spans="1:10" x14ac:dyDescent="0.25">
      <c r="A444" t="s">
        <v>760</v>
      </c>
      <c r="B444" t="s">
        <v>761</v>
      </c>
      <c r="C444">
        <v>1</v>
      </c>
      <c r="E444" t="s">
        <v>784</v>
      </c>
      <c r="F444" s="12" t="str">
        <f t="shared" si="18"/>
        <v>'C20'</v>
      </c>
      <c r="G444" s="12" t="str">
        <f t="shared" si="19"/>
        <v>'Mardonio Morales Luna'</v>
      </c>
      <c r="H444" t="s">
        <v>785</v>
      </c>
      <c r="I444" t="s">
        <v>654</v>
      </c>
      <c r="J444" t="str">
        <f t="shared" si="20"/>
        <v>('C20','Mardonio Morales Luna',1),</v>
      </c>
    </row>
    <row r="445" spans="1:10" x14ac:dyDescent="0.25">
      <c r="A445" t="s">
        <v>766</v>
      </c>
      <c r="B445" t="s">
        <v>767</v>
      </c>
      <c r="C445">
        <v>1</v>
      </c>
      <c r="E445" t="s">
        <v>784</v>
      </c>
      <c r="F445" s="12" t="str">
        <f t="shared" si="18"/>
        <v>'C07'</v>
      </c>
      <c r="G445" s="12" t="str">
        <f t="shared" si="19"/>
        <v>'Fernando Cano'</v>
      </c>
      <c r="H445" t="s">
        <v>785</v>
      </c>
      <c r="I445" t="s">
        <v>654</v>
      </c>
      <c r="J445" t="str">
        <f t="shared" si="20"/>
        <v>('C07','Fernando Cano',1),</v>
      </c>
    </row>
    <row r="446" spans="1:10" x14ac:dyDescent="0.25">
      <c r="A446" t="s">
        <v>760</v>
      </c>
      <c r="B446" t="s">
        <v>761</v>
      </c>
      <c r="C446">
        <v>1</v>
      </c>
      <c r="E446" t="s">
        <v>784</v>
      </c>
      <c r="F446" s="12" t="str">
        <f t="shared" si="18"/>
        <v>'C20'</v>
      </c>
      <c r="G446" s="12" t="str">
        <f t="shared" si="19"/>
        <v>'Mardonio Morales Luna'</v>
      </c>
      <c r="H446" t="s">
        <v>785</v>
      </c>
      <c r="I446" t="s">
        <v>654</v>
      </c>
      <c r="J446" t="str">
        <f t="shared" si="20"/>
        <v>('C20','Mardonio Morales Luna',1),</v>
      </c>
    </row>
    <row r="447" spans="1:10" x14ac:dyDescent="0.25">
      <c r="A447" t="s">
        <v>847</v>
      </c>
      <c r="B447" t="s">
        <v>848</v>
      </c>
      <c r="C447">
        <v>1</v>
      </c>
      <c r="E447" t="s">
        <v>784</v>
      </c>
      <c r="F447" s="12" t="str">
        <f t="shared" si="18"/>
        <v>'D01'</v>
      </c>
      <c r="G447" s="12" t="str">
        <f t="shared" si="19"/>
        <v>'Fernando Corro'</v>
      </c>
      <c r="H447" t="s">
        <v>785</v>
      </c>
      <c r="I447" t="s">
        <v>654</v>
      </c>
      <c r="J447" t="str">
        <f t="shared" si="20"/>
        <v>('D01','Fernando Corro',1),</v>
      </c>
    </row>
    <row r="448" spans="1:10" x14ac:dyDescent="0.25">
      <c r="A448" t="s">
        <v>849</v>
      </c>
      <c r="B448" t="s">
        <v>850</v>
      </c>
      <c r="C448">
        <v>1</v>
      </c>
      <c r="E448" t="s">
        <v>784</v>
      </c>
      <c r="F448" s="12" t="str">
        <f t="shared" si="18"/>
        <v>'E01'</v>
      </c>
      <c r="G448" s="12" t="str">
        <f t="shared" si="19"/>
        <v>'Moises Bautista Martinez'</v>
      </c>
      <c r="H448" t="s">
        <v>785</v>
      </c>
      <c r="I448" t="s">
        <v>654</v>
      </c>
      <c r="J448" t="str">
        <f t="shared" si="20"/>
        <v>('E01','Moises Bautista Martinez',1),</v>
      </c>
    </row>
    <row r="449" spans="1:10" x14ac:dyDescent="0.25">
      <c r="A449" t="s">
        <v>851</v>
      </c>
      <c r="B449" t="s">
        <v>852</v>
      </c>
      <c r="C449">
        <v>1</v>
      </c>
      <c r="E449" t="s">
        <v>784</v>
      </c>
      <c r="F449" s="12" t="str">
        <f t="shared" si="18"/>
        <v>'E02'</v>
      </c>
      <c r="G449" s="12" t="str">
        <f t="shared" si="19"/>
        <v>'Comercializadora Ranvel'</v>
      </c>
      <c r="H449" t="s">
        <v>785</v>
      </c>
      <c r="I449" t="s">
        <v>654</v>
      </c>
      <c r="J449" t="str">
        <f t="shared" si="20"/>
        <v>('E02','Comercializadora Ranvel',1),</v>
      </c>
    </row>
    <row r="450" spans="1:10" x14ac:dyDescent="0.25">
      <c r="A450" t="s">
        <v>853</v>
      </c>
      <c r="B450" t="s">
        <v>854</v>
      </c>
      <c r="C450">
        <v>1</v>
      </c>
      <c r="E450" t="s">
        <v>784</v>
      </c>
      <c r="F450" s="12" t="str">
        <f t="shared" si="18"/>
        <v>'E03'</v>
      </c>
      <c r="G450" s="12" t="str">
        <f t="shared" si="19"/>
        <v>'Dora Maria Martinez Rueda'</v>
      </c>
      <c r="H450" t="s">
        <v>785</v>
      </c>
      <c r="I450" t="s">
        <v>654</v>
      </c>
      <c r="J450" t="str">
        <f t="shared" si="20"/>
        <v>('E03','Dora Maria Martinez Rueda',1),</v>
      </c>
    </row>
    <row r="451" spans="1:10" x14ac:dyDescent="0.25">
      <c r="A451" t="s">
        <v>855</v>
      </c>
      <c r="B451" t="s">
        <v>738</v>
      </c>
      <c r="C451">
        <v>1</v>
      </c>
      <c r="E451" t="s">
        <v>784</v>
      </c>
      <c r="F451" s="12" t="str">
        <f t="shared" ref="F451:F458" si="21">+"'"&amp;A451&amp;"'"</f>
        <v>'E04'</v>
      </c>
      <c r="G451" s="12" t="str">
        <f t="shared" ref="G451:G458" si="22">+"'"&amp;B451&amp;"'"</f>
        <v>'Gerardo Turriza'</v>
      </c>
      <c r="H451" t="s">
        <v>785</v>
      </c>
      <c r="I451" t="s">
        <v>654</v>
      </c>
      <c r="J451" t="str">
        <f t="shared" ref="J451:J458" si="23">+E451&amp;F451&amp;I451&amp;G451&amp;I451&amp;C451&amp;H451&amp;I451</f>
        <v>('E04','Gerardo Turriza',1),</v>
      </c>
    </row>
    <row r="452" spans="1:10" x14ac:dyDescent="0.25">
      <c r="A452" t="s">
        <v>856</v>
      </c>
      <c r="B452" t="s">
        <v>857</v>
      </c>
      <c r="C452">
        <v>1</v>
      </c>
      <c r="E452" t="s">
        <v>784</v>
      </c>
      <c r="F452" s="12" t="str">
        <f t="shared" si="21"/>
        <v>'E05'</v>
      </c>
      <c r="G452" s="12" t="str">
        <f t="shared" si="22"/>
        <v>'Banarana'</v>
      </c>
      <c r="H452" t="s">
        <v>785</v>
      </c>
      <c r="I452" t="s">
        <v>654</v>
      </c>
      <c r="J452" t="str">
        <f t="shared" si="23"/>
        <v>('E05','Banarana',1),</v>
      </c>
    </row>
    <row r="453" spans="1:10" x14ac:dyDescent="0.25">
      <c r="A453" t="s">
        <v>734</v>
      </c>
      <c r="B453" t="s">
        <v>731</v>
      </c>
      <c r="C453">
        <v>1</v>
      </c>
      <c r="E453" t="s">
        <v>784</v>
      </c>
      <c r="F453" s="12" t="str">
        <f t="shared" si="21"/>
        <v>'E06'</v>
      </c>
      <c r="G453" s="12" t="str">
        <f t="shared" si="22"/>
        <v>'Felipe Martinez Ruiz'</v>
      </c>
      <c r="H453" t="s">
        <v>785</v>
      </c>
      <c r="I453" t="s">
        <v>654</v>
      </c>
      <c r="J453" t="str">
        <f t="shared" si="23"/>
        <v>('E06','Felipe Martinez Ruiz',1),</v>
      </c>
    </row>
    <row r="454" spans="1:10" x14ac:dyDescent="0.25">
      <c r="A454" t="s">
        <v>858</v>
      </c>
      <c r="B454" t="s">
        <v>859</v>
      </c>
      <c r="C454">
        <v>1</v>
      </c>
      <c r="E454" t="s">
        <v>784</v>
      </c>
      <c r="F454" s="12" t="str">
        <f t="shared" si="21"/>
        <v>'E07'</v>
      </c>
      <c r="G454" s="12" t="str">
        <f t="shared" si="22"/>
        <v>'Leobardo Jair Velazquez Rangel'</v>
      </c>
      <c r="H454" t="s">
        <v>785</v>
      </c>
      <c r="I454" t="s">
        <v>654</v>
      </c>
      <c r="J454" t="str">
        <f t="shared" si="23"/>
        <v>('E07','Leobardo Jair Velazquez Rangel',1),</v>
      </c>
    </row>
    <row r="455" spans="1:10" x14ac:dyDescent="0.25">
      <c r="A455" t="s">
        <v>860</v>
      </c>
      <c r="B455" t="s">
        <v>861</v>
      </c>
      <c r="C455">
        <v>1</v>
      </c>
      <c r="E455" t="s">
        <v>784</v>
      </c>
      <c r="F455" s="12" t="str">
        <f t="shared" si="21"/>
        <v>'E08'</v>
      </c>
      <c r="G455" s="12" t="str">
        <f t="shared" si="22"/>
        <v>'Navafrut Maduraciones'</v>
      </c>
      <c r="H455" t="s">
        <v>785</v>
      </c>
      <c r="I455" t="s">
        <v>654</v>
      </c>
      <c r="J455" t="str">
        <f t="shared" si="23"/>
        <v>('E08','Navafrut Maduraciones',1),</v>
      </c>
    </row>
    <row r="456" spans="1:10" x14ac:dyDescent="0.25">
      <c r="A456" t="s">
        <v>862</v>
      </c>
      <c r="B456" t="s">
        <v>863</v>
      </c>
      <c r="C456">
        <v>1</v>
      </c>
      <c r="E456" t="s">
        <v>784</v>
      </c>
      <c r="F456" s="12" t="str">
        <f t="shared" si="21"/>
        <v>'E09'</v>
      </c>
      <c r="G456" s="12" t="str">
        <f t="shared" si="22"/>
        <v>'Margarita Roman Arroyo'</v>
      </c>
      <c r="H456" t="s">
        <v>785</v>
      </c>
      <c r="I456" t="s">
        <v>654</v>
      </c>
      <c r="J456" t="str">
        <f t="shared" si="23"/>
        <v>('E09','Margarita Roman Arroyo',1),</v>
      </c>
    </row>
    <row r="457" spans="1:10" x14ac:dyDescent="0.25">
      <c r="A457" t="s">
        <v>864</v>
      </c>
      <c r="B457" t="s">
        <v>865</v>
      </c>
      <c r="C457">
        <v>1</v>
      </c>
      <c r="E457" t="s">
        <v>784</v>
      </c>
      <c r="F457" s="12" t="str">
        <f t="shared" si="21"/>
        <v>'E10'</v>
      </c>
      <c r="G457" s="12" t="str">
        <f t="shared" si="22"/>
        <v>'Santos Soberano'</v>
      </c>
      <c r="H457" t="s">
        <v>785</v>
      </c>
      <c r="I457" t="s">
        <v>654</v>
      </c>
      <c r="J457" t="str">
        <f t="shared" si="23"/>
        <v>('E10','Santos Soberano',1),</v>
      </c>
    </row>
    <row r="458" spans="1:10" x14ac:dyDescent="0.25">
      <c r="A458" t="s">
        <v>866</v>
      </c>
      <c r="B458" t="s">
        <v>867</v>
      </c>
      <c r="C458">
        <v>1</v>
      </c>
      <c r="E458" t="s">
        <v>784</v>
      </c>
      <c r="F458" s="12" t="str">
        <f t="shared" si="21"/>
        <v>'E11'</v>
      </c>
      <c r="G458" s="12" t="str">
        <f t="shared" si="22"/>
        <v>'Comercializadora Banamachos'</v>
      </c>
      <c r="H458" t="s">
        <v>785</v>
      </c>
      <c r="I458" t="s">
        <v>654</v>
      </c>
      <c r="J458" t="str">
        <f t="shared" si="23"/>
        <v>('E11','Comercializadora Banamachos',1),</v>
      </c>
    </row>
  </sheetData>
  <autoFilter ref="A1:C72" xr:uid="{64F9C8D2-7547-4F48-9652-D384EE33666F}">
    <sortState xmlns:xlrd2="http://schemas.microsoft.com/office/spreadsheetml/2017/richdata2" ref="A2:C72">
      <sortCondition ref="A1:A51"/>
    </sortState>
  </autoFilter>
  <conditionalFormatting sqref="A1:A1048576">
    <cfRule type="duplicateValues" dxfId="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0D1BD-CBD6-4FDD-8E58-0924B607C25D}">
  <dimension ref="A1:G86"/>
  <sheetViews>
    <sheetView topLeftCell="A51" workbookViewId="0">
      <selection activeCell="G60" sqref="G60"/>
    </sheetView>
  </sheetViews>
  <sheetFormatPr baseColWidth="10" defaultRowHeight="15" x14ac:dyDescent="0.25"/>
  <cols>
    <col min="1" max="1" width="72.28515625" customWidth="1"/>
    <col min="5" max="5" width="25.28515625" customWidth="1"/>
  </cols>
  <sheetData>
    <row r="1" spans="1:7" x14ac:dyDescent="0.25">
      <c r="A1" t="s">
        <v>1119</v>
      </c>
      <c r="B1" t="s">
        <v>1120</v>
      </c>
      <c r="C1" t="s">
        <v>1121</v>
      </c>
      <c r="D1" t="s">
        <v>1122</v>
      </c>
      <c r="E1" t="s">
        <v>1121</v>
      </c>
      <c r="F1">
        <v>3</v>
      </c>
    </row>
    <row r="2" spans="1:7" x14ac:dyDescent="0.25">
      <c r="A2" t="s">
        <v>868</v>
      </c>
      <c r="D2" t="s">
        <v>695</v>
      </c>
      <c r="E2" t="s">
        <v>1040</v>
      </c>
      <c r="F2" t="s">
        <v>1041</v>
      </c>
      <c r="G2">
        <v>80</v>
      </c>
    </row>
    <row r="3" spans="1:7" x14ac:dyDescent="0.25">
      <c r="A3" t="s">
        <v>871</v>
      </c>
      <c r="D3" t="s">
        <v>788</v>
      </c>
      <c r="E3" t="s">
        <v>1042</v>
      </c>
      <c r="F3" t="s">
        <v>1041</v>
      </c>
      <c r="G3">
        <f>+G2+1</f>
        <v>81</v>
      </c>
    </row>
    <row r="4" spans="1:7" x14ac:dyDescent="0.25">
      <c r="A4" t="s">
        <v>873</v>
      </c>
      <c r="D4" t="s">
        <v>770</v>
      </c>
      <c r="E4" t="s">
        <v>1043</v>
      </c>
      <c r="F4" t="s">
        <v>1041</v>
      </c>
      <c r="G4">
        <f t="shared" ref="G4:G67" si="0">+G3+1</f>
        <v>82</v>
      </c>
    </row>
    <row r="5" spans="1:7" x14ac:dyDescent="0.25">
      <c r="A5" t="s">
        <v>869</v>
      </c>
      <c r="D5" t="s">
        <v>697</v>
      </c>
      <c r="E5" t="s">
        <v>1044</v>
      </c>
      <c r="F5" t="s">
        <v>1041</v>
      </c>
      <c r="G5">
        <f t="shared" si="0"/>
        <v>83</v>
      </c>
    </row>
    <row r="6" spans="1:7" x14ac:dyDescent="0.25">
      <c r="A6" t="s">
        <v>875</v>
      </c>
      <c r="D6" t="s">
        <v>702</v>
      </c>
      <c r="E6" t="s">
        <v>1045</v>
      </c>
      <c r="F6" t="s">
        <v>1041</v>
      </c>
      <c r="G6">
        <f t="shared" si="0"/>
        <v>84</v>
      </c>
    </row>
    <row r="7" spans="1:7" x14ac:dyDescent="0.25">
      <c r="A7" t="s">
        <v>876</v>
      </c>
      <c r="D7" t="s">
        <v>754</v>
      </c>
      <c r="E7" t="s">
        <v>1046</v>
      </c>
      <c r="F7" t="s">
        <v>1041</v>
      </c>
      <c r="G7">
        <f t="shared" si="0"/>
        <v>85</v>
      </c>
    </row>
    <row r="8" spans="1:7" x14ac:dyDescent="0.25">
      <c r="A8" t="s">
        <v>878</v>
      </c>
      <c r="D8" t="s">
        <v>792</v>
      </c>
      <c r="E8" t="s">
        <v>1047</v>
      </c>
      <c r="F8" t="s">
        <v>1041</v>
      </c>
      <c r="G8">
        <f t="shared" si="0"/>
        <v>86</v>
      </c>
    </row>
    <row r="9" spans="1:7" x14ac:dyDescent="0.25">
      <c r="A9" t="s">
        <v>870</v>
      </c>
      <c r="D9" t="s">
        <v>762</v>
      </c>
      <c r="E9" t="s">
        <v>1048</v>
      </c>
      <c r="F9" t="s">
        <v>1041</v>
      </c>
      <c r="G9">
        <f t="shared" si="0"/>
        <v>87</v>
      </c>
    </row>
    <row r="10" spans="1:7" x14ac:dyDescent="0.25">
      <c r="A10" t="s">
        <v>967</v>
      </c>
      <c r="D10" t="s">
        <v>775</v>
      </c>
      <c r="E10" t="s">
        <v>1049</v>
      </c>
      <c r="F10" t="s">
        <v>1041</v>
      </c>
      <c r="G10">
        <f t="shared" si="0"/>
        <v>88</v>
      </c>
    </row>
    <row r="11" spans="1:7" x14ac:dyDescent="0.25">
      <c r="A11" t="s">
        <v>968</v>
      </c>
      <c r="D11" t="s">
        <v>796</v>
      </c>
      <c r="E11" t="s">
        <v>1050</v>
      </c>
      <c r="F11" t="s">
        <v>1041</v>
      </c>
      <c r="G11">
        <f t="shared" si="0"/>
        <v>89</v>
      </c>
    </row>
    <row r="12" spans="1:7" x14ac:dyDescent="0.25">
      <c r="A12" t="s">
        <v>877</v>
      </c>
      <c r="D12" t="s">
        <v>699</v>
      </c>
      <c r="E12" t="s">
        <v>1051</v>
      </c>
      <c r="F12" t="s">
        <v>1041</v>
      </c>
      <c r="G12">
        <f t="shared" si="0"/>
        <v>90</v>
      </c>
    </row>
    <row r="13" spans="1:7" x14ac:dyDescent="0.25">
      <c r="A13" t="s">
        <v>969</v>
      </c>
      <c r="D13" t="s">
        <v>773</v>
      </c>
      <c r="E13" t="s">
        <v>1052</v>
      </c>
      <c r="F13" t="s">
        <v>1041</v>
      </c>
      <c r="G13">
        <f t="shared" si="0"/>
        <v>91</v>
      </c>
    </row>
    <row r="14" spans="1:7" x14ac:dyDescent="0.25">
      <c r="A14" t="s">
        <v>970</v>
      </c>
      <c r="D14" t="s">
        <v>798</v>
      </c>
      <c r="E14" t="s">
        <v>1053</v>
      </c>
      <c r="F14" t="s">
        <v>1041</v>
      </c>
      <c r="G14">
        <f t="shared" si="0"/>
        <v>92</v>
      </c>
    </row>
    <row r="15" spans="1:7" x14ac:dyDescent="0.25">
      <c r="A15" t="s">
        <v>971</v>
      </c>
      <c r="D15" t="s">
        <v>800</v>
      </c>
      <c r="E15" t="s">
        <v>1054</v>
      </c>
      <c r="F15" t="s">
        <v>1041</v>
      </c>
      <c r="G15">
        <f t="shared" si="0"/>
        <v>93</v>
      </c>
    </row>
    <row r="16" spans="1:7" x14ac:dyDescent="0.25">
      <c r="A16" t="s">
        <v>972</v>
      </c>
      <c r="D16" t="s">
        <v>802</v>
      </c>
      <c r="E16" t="s">
        <v>1055</v>
      </c>
      <c r="F16" t="s">
        <v>1041</v>
      </c>
      <c r="G16">
        <f t="shared" si="0"/>
        <v>94</v>
      </c>
    </row>
    <row r="17" spans="1:7" x14ac:dyDescent="0.25">
      <c r="A17" t="s">
        <v>973</v>
      </c>
      <c r="D17" t="s">
        <v>804</v>
      </c>
      <c r="E17" t="s">
        <v>1056</v>
      </c>
      <c r="F17" t="s">
        <v>1041</v>
      </c>
      <c r="G17">
        <f t="shared" si="0"/>
        <v>95</v>
      </c>
    </row>
    <row r="18" spans="1:7" x14ac:dyDescent="0.25">
      <c r="A18" t="s">
        <v>974</v>
      </c>
      <c r="D18" t="s">
        <v>806</v>
      </c>
      <c r="E18" t="s">
        <v>1057</v>
      </c>
      <c r="F18" t="s">
        <v>1041</v>
      </c>
      <c r="G18">
        <f t="shared" si="0"/>
        <v>96</v>
      </c>
    </row>
    <row r="19" spans="1:7" x14ac:dyDescent="0.25">
      <c r="A19" t="s">
        <v>975</v>
      </c>
      <c r="D19" t="s">
        <v>808</v>
      </c>
      <c r="E19" t="s">
        <v>1058</v>
      </c>
      <c r="F19" t="s">
        <v>1041</v>
      </c>
      <c r="G19">
        <f t="shared" si="0"/>
        <v>97</v>
      </c>
    </row>
    <row r="20" spans="1:7" x14ac:dyDescent="0.25">
      <c r="A20" t="s">
        <v>976</v>
      </c>
      <c r="D20" t="s">
        <v>810</v>
      </c>
      <c r="E20" t="s">
        <v>1059</v>
      </c>
      <c r="F20" t="s">
        <v>1041</v>
      </c>
      <c r="G20">
        <f t="shared" si="0"/>
        <v>98</v>
      </c>
    </row>
    <row r="21" spans="1:7" x14ac:dyDescent="0.25">
      <c r="A21" t="s">
        <v>977</v>
      </c>
      <c r="D21" t="s">
        <v>812</v>
      </c>
      <c r="E21" t="s">
        <v>1060</v>
      </c>
      <c r="F21" t="s">
        <v>1041</v>
      </c>
      <c r="G21">
        <f t="shared" si="0"/>
        <v>99</v>
      </c>
    </row>
    <row r="22" spans="1:7" x14ac:dyDescent="0.25">
      <c r="A22" t="s">
        <v>978</v>
      </c>
      <c r="D22" t="s">
        <v>814</v>
      </c>
      <c r="E22" t="s">
        <v>1061</v>
      </c>
      <c r="F22" t="s">
        <v>1041</v>
      </c>
      <c r="G22">
        <f t="shared" si="0"/>
        <v>100</v>
      </c>
    </row>
    <row r="23" spans="1:7" x14ac:dyDescent="0.25">
      <c r="A23" t="s">
        <v>979</v>
      </c>
      <c r="D23" t="s">
        <v>816</v>
      </c>
      <c r="E23" t="s">
        <v>1042</v>
      </c>
      <c r="F23" t="s">
        <v>1041</v>
      </c>
      <c r="G23">
        <f t="shared" si="0"/>
        <v>101</v>
      </c>
    </row>
    <row r="24" spans="1:7" x14ac:dyDescent="0.25">
      <c r="A24" t="s">
        <v>874</v>
      </c>
      <c r="D24" t="s">
        <v>790</v>
      </c>
      <c r="E24" t="s">
        <v>1062</v>
      </c>
      <c r="F24" t="s">
        <v>1041</v>
      </c>
      <c r="G24">
        <f t="shared" si="0"/>
        <v>102</v>
      </c>
    </row>
    <row r="25" spans="1:7" x14ac:dyDescent="0.25">
      <c r="A25" t="s">
        <v>872</v>
      </c>
      <c r="D25" t="s">
        <v>737</v>
      </c>
      <c r="E25" t="s">
        <v>1063</v>
      </c>
      <c r="F25" t="s">
        <v>1041</v>
      </c>
      <c r="G25">
        <f t="shared" si="0"/>
        <v>103</v>
      </c>
    </row>
    <row r="26" spans="1:7" x14ac:dyDescent="0.25">
      <c r="A26" t="s">
        <v>984</v>
      </c>
      <c r="D26" t="s">
        <v>735</v>
      </c>
      <c r="E26" t="s">
        <v>1064</v>
      </c>
      <c r="F26" t="s">
        <v>1041</v>
      </c>
      <c r="G26">
        <f t="shared" si="0"/>
        <v>104</v>
      </c>
    </row>
    <row r="27" spans="1:7" x14ac:dyDescent="0.25">
      <c r="A27" t="s">
        <v>980</v>
      </c>
      <c r="D27" t="s">
        <v>693</v>
      </c>
      <c r="E27" t="s">
        <v>1065</v>
      </c>
      <c r="F27" t="s">
        <v>1041</v>
      </c>
      <c r="G27">
        <f t="shared" si="0"/>
        <v>105</v>
      </c>
    </row>
    <row r="28" spans="1:7" x14ac:dyDescent="0.25">
      <c r="A28" t="s">
        <v>981</v>
      </c>
      <c r="D28" t="s">
        <v>817</v>
      </c>
      <c r="E28" t="s">
        <v>1066</v>
      </c>
      <c r="F28" t="s">
        <v>1041</v>
      </c>
      <c r="G28">
        <f t="shared" si="0"/>
        <v>106</v>
      </c>
    </row>
    <row r="29" spans="1:7" x14ac:dyDescent="0.25">
      <c r="A29" t="s">
        <v>982</v>
      </c>
      <c r="D29" t="s">
        <v>819</v>
      </c>
      <c r="E29" t="s">
        <v>1067</v>
      </c>
      <c r="F29" t="s">
        <v>1041</v>
      </c>
      <c r="G29">
        <f t="shared" si="0"/>
        <v>107</v>
      </c>
    </row>
    <row r="30" spans="1:7" x14ac:dyDescent="0.25">
      <c r="A30" t="s">
        <v>983</v>
      </c>
      <c r="D30" t="s">
        <v>821</v>
      </c>
      <c r="E30" t="s">
        <v>1068</v>
      </c>
      <c r="F30" t="s">
        <v>1041</v>
      </c>
      <c r="G30">
        <f t="shared" si="0"/>
        <v>108</v>
      </c>
    </row>
    <row r="31" spans="1:7" x14ac:dyDescent="0.25">
      <c r="A31" t="s">
        <v>985</v>
      </c>
      <c r="D31" t="s">
        <v>823</v>
      </c>
      <c r="E31" t="s">
        <v>1069</v>
      </c>
      <c r="F31" t="s">
        <v>1041</v>
      </c>
      <c r="G31">
        <f t="shared" si="0"/>
        <v>109</v>
      </c>
    </row>
    <row r="32" spans="1:7" x14ac:dyDescent="0.25">
      <c r="A32" t="s">
        <v>986</v>
      </c>
      <c r="D32" t="s">
        <v>825</v>
      </c>
      <c r="E32" t="s">
        <v>1070</v>
      </c>
      <c r="F32" t="s">
        <v>1041</v>
      </c>
      <c r="G32">
        <f t="shared" si="0"/>
        <v>110</v>
      </c>
    </row>
    <row r="33" spans="1:7" x14ac:dyDescent="0.25">
      <c r="A33" t="s">
        <v>988</v>
      </c>
      <c r="D33" t="s">
        <v>828</v>
      </c>
      <c r="E33" t="s">
        <v>1071</v>
      </c>
      <c r="F33" t="s">
        <v>1041</v>
      </c>
      <c r="G33">
        <f t="shared" si="0"/>
        <v>111</v>
      </c>
    </row>
    <row r="34" spans="1:7" x14ac:dyDescent="0.25">
      <c r="A34" t="s">
        <v>987</v>
      </c>
      <c r="D34" t="s">
        <v>701</v>
      </c>
      <c r="E34" t="s">
        <v>1072</v>
      </c>
      <c r="F34" t="s">
        <v>1041</v>
      </c>
      <c r="G34">
        <f t="shared" si="0"/>
        <v>112</v>
      </c>
    </row>
    <row r="35" spans="1:7" x14ac:dyDescent="0.25">
      <c r="A35" t="s">
        <v>989</v>
      </c>
      <c r="D35" t="s">
        <v>732</v>
      </c>
      <c r="E35" t="s">
        <v>1073</v>
      </c>
      <c r="F35" t="s">
        <v>1041</v>
      </c>
      <c r="G35">
        <f t="shared" si="0"/>
        <v>113</v>
      </c>
    </row>
    <row r="36" spans="1:7" x14ac:dyDescent="0.25">
      <c r="A36" t="s">
        <v>990</v>
      </c>
      <c r="D36" t="s">
        <v>830</v>
      </c>
      <c r="E36" t="s">
        <v>1074</v>
      </c>
      <c r="F36" t="s">
        <v>1041</v>
      </c>
      <c r="G36">
        <f t="shared" si="0"/>
        <v>114</v>
      </c>
    </row>
    <row r="37" spans="1:7" x14ac:dyDescent="0.25">
      <c r="A37" t="s">
        <v>991</v>
      </c>
      <c r="D37" t="s">
        <v>743</v>
      </c>
      <c r="E37" t="s">
        <v>1075</v>
      </c>
      <c r="F37" t="s">
        <v>1041</v>
      </c>
      <c r="G37">
        <f t="shared" si="0"/>
        <v>115</v>
      </c>
    </row>
    <row r="38" spans="1:7" x14ac:dyDescent="0.25">
      <c r="A38" t="s">
        <v>992</v>
      </c>
      <c r="D38" t="s">
        <v>745</v>
      </c>
      <c r="E38" t="s">
        <v>1076</v>
      </c>
      <c r="F38" t="s">
        <v>1041</v>
      </c>
      <c r="G38">
        <f t="shared" si="0"/>
        <v>116</v>
      </c>
    </row>
    <row r="39" spans="1:7" x14ac:dyDescent="0.25">
      <c r="A39" t="s">
        <v>993</v>
      </c>
      <c r="D39" t="s">
        <v>752</v>
      </c>
      <c r="E39" t="s">
        <v>1077</v>
      </c>
      <c r="F39" t="s">
        <v>1041</v>
      </c>
      <c r="G39">
        <f t="shared" si="0"/>
        <v>117</v>
      </c>
    </row>
    <row r="40" spans="1:7" x14ac:dyDescent="0.25">
      <c r="A40" t="s">
        <v>994</v>
      </c>
      <c r="D40" t="s">
        <v>772</v>
      </c>
      <c r="E40" t="s">
        <v>1078</v>
      </c>
      <c r="F40" t="s">
        <v>1041</v>
      </c>
      <c r="G40">
        <f t="shared" si="0"/>
        <v>118</v>
      </c>
    </row>
    <row r="41" spans="1:7" x14ac:dyDescent="0.25">
      <c r="A41" t="s">
        <v>996</v>
      </c>
      <c r="D41" t="s">
        <v>707</v>
      </c>
      <c r="E41" t="s">
        <v>1079</v>
      </c>
      <c r="F41" t="s">
        <v>1041</v>
      </c>
      <c r="G41">
        <f t="shared" si="0"/>
        <v>119</v>
      </c>
    </row>
    <row r="42" spans="1:7" x14ac:dyDescent="0.25">
      <c r="A42" t="s">
        <v>1001</v>
      </c>
      <c r="D42" t="s">
        <v>711</v>
      </c>
      <c r="E42" t="s">
        <v>1080</v>
      </c>
      <c r="F42" t="s">
        <v>1041</v>
      </c>
      <c r="G42">
        <f t="shared" si="0"/>
        <v>120</v>
      </c>
    </row>
    <row r="43" spans="1:7" x14ac:dyDescent="0.25">
      <c r="A43" t="s">
        <v>995</v>
      </c>
      <c r="D43" t="s">
        <v>715</v>
      </c>
      <c r="E43" t="s">
        <v>1081</v>
      </c>
      <c r="F43" t="s">
        <v>1041</v>
      </c>
      <c r="G43">
        <f t="shared" si="0"/>
        <v>121</v>
      </c>
    </row>
    <row r="44" spans="1:7" x14ac:dyDescent="0.25">
      <c r="A44" t="s">
        <v>997</v>
      </c>
      <c r="D44" t="s">
        <v>741</v>
      </c>
      <c r="E44" t="s">
        <v>1082</v>
      </c>
      <c r="F44" t="s">
        <v>1041</v>
      </c>
      <c r="G44">
        <f t="shared" si="0"/>
        <v>122</v>
      </c>
    </row>
    <row r="45" spans="1:7" x14ac:dyDescent="0.25">
      <c r="A45" t="s">
        <v>999</v>
      </c>
      <c r="D45" t="s">
        <v>709</v>
      </c>
      <c r="E45" t="s">
        <v>1083</v>
      </c>
      <c r="F45" t="s">
        <v>1041</v>
      </c>
      <c r="G45">
        <f t="shared" si="0"/>
        <v>123</v>
      </c>
    </row>
    <row r="46" spans="1:7" x14ac:dyDescent="0.25">
      <c r="A46" t="s">
        <v>1011</v>
      </c>
      <c r="D46" t="s">
        <v>719</v>
      </c>
      <c r="E46" t="s">
        <v>1084</v>
      </c>
      <c r="F46" t="s">
        <v>1041</v>
      </c>
      <c r="G46">
        <f t="shared" si="0"/>
        <v>124</v>
      </c>
    </row>
    <row r="47" spans="1:7" x14ac:dyDescent="0.25">
      <c r="A47" t="s">
        <v>1000</v>
      </c>
      <c r="D47" t="s">
        <v>704</v>
      </c>
      <c r="E47" t="s">
        <v>1085</v>
      </c>
      <c r="F47" t="s">
        <v>1041</v>
      </c>
      <c r="G47">
        <f t="shared" si="0"/>
        <v>125</v>
      </c>
    </row>
    <row r="48" spans="1:7" x14ac:dyDescent="0.25">
      <c r="A48" t="s">
        <v>1005</v>
      </c>
      <c r="D48" t="s">
        <v>777</v>
      </c>
      <c r="E48" t="s">
        <v>1086</v>
      </c>
      <c r="F48" t="s">
        <v>1041</v>
      </c>
      <c r="G48">
        <f t="shared" si="0"/>
        <v>126</v>
      </c>
    </row>
    <row r="49" spans="1:7" x14ac:dyDescent="0.25">
      <c r="A49" t="s">
        <v>1008</v>
      </c>
      <c r="D49" t="s">
        <v>837</v>
      </c>
      <c r="E49" t="s">
        <v>1087</v>
      </c>
      <c r="F49" t="s">
        <v>1041</v>
      </c>
      <c r="G49">
        <f t="shared" si="0"/>
        <v>127</v>
      </c>
    </row>
    <row r="50" spans="1:7" x14ac:dyDescent="0.25">
      <c r="A50" t="s">
        <v>998</v>
      </c>
      <c r="D50" t="s">
        <v>705</v>
      </c>
      <c r="E50" t="s">
        <v>1088</v>
      </c>
      <c r="F50" t="s">
        <v>1041</v>
      </c>
      <c r="G50">
        <f t="shared" si="0"/>
        <v>128</v>
      </c>
    </row>
    <row r="51" spans="1:7" x14ac:dyDescent="0.25">
      <c r="A51" t="s">
        <v>1007</v>
      </c>
      <c r="D51" t="s">
        <v>835</v>
      </c>
      <c r="E51" t="s">
        <v>1079</v>
      </c>
      <c r="F51" t="s">
        <v>1041</v>
      </c>
      <c r="G51">
        <f t="shared" si="0"/>
        <v>129</v>
      </c>
    </row>
    <row r="52" spans="1:7" x14ac:dyDescent="0.25">
      <c r="A52" t="s">
        <v>1009</v>
      </c>
      <c r="D52" t="s">
        <v>713</v>
      </c>
      <c r="E52" t="s">
        <v>1089</v>
      </c>
      <c r="F52" t="s">
        <v>1041</v>
      </c>
      <c r="G52">
        <f t="shared" si="0"/>
        <v>130</v>
      </c>
    </row>
    <row r="53" spans="1:7" x14ac:dyDescent="0.25">
      <c r="A53" t="s">
        <v>1004</v>
      </c>
      <c r="D53" t="s">
        <v>721</v>
      </c>
      <c r="E53" t="s">
        <v>1090</v>
      </c>
      <c r="F53" t="s">
        <v>1041</v>
      </c>
      <c r="G53">
        <f t="shared" si="0"/>
        <v>131</v>
      </c>
    </row>
    <row r="54" spans="1:7" x14ac:dyDescent="0.25">
      <c r="A54" t="s">
        <v>1010</v>
      </c>
      <c r="D54" t="s">
        <v>839</v>
      </c>
      <c r="E54" t="s">
        <v>1091</v>
      </c>
      <c r="F54" t="s">
        <v>1041</v>
      </c>
      <c r="G54">
        <f t="shared" si="0"/>
        <v>132</v>
      </c>
    </row>
    <row r="55" spans="1:7" x14ac:dyDescent="0.25">
      <c r="A55" t="s">
        <v>1012</v>
      </c>
      <c r="D55" t="s">
        <v>723</v>
      </c>
      <c r="E55" t="s">
        <v>1092</v>
      </c>
      <c r="F55" t="s">
        <v>1041</v>
      </c>
      <c r="G55">
        <f t="shared" si="0"/>
        <v>133</v>
      </c>
    </row>
    <row r="56" spans="1:7" x14ac:dyDescent="0.25">
      <c r="A56" t="s">
        <v>1002</v>
      </c>
      <c r="D56" t="s">
        <v>717</v>
      </c>
      <c r="E56" t="s">
        <v>1093</v>
      </c>
      <c r="F56" t="s">
        <v>1041</v>
      </c>
      <c r="G56">
        <f t="shared" si="0"/>
        <v>134</v>
      </c>
    </row>
    <row r="57" spans="1:7" x14ac:dyDescent="0.25">
      <c r="A57" t="s">
        <v>1003</v>
      </c>
      <c r="D57" t="s">
        <v>747</v>
      </c>
      <c r="E57" t="s">
        <v>1094</v>
      </c>
      <c r="F57" t="s">
        <v>1041</v>
      </c>
      <c r="G57">
        <f t="shared" si="0"/>
        <v>135</v>
      </c>
    </row>
    <row r="58" spans="1:7" x14ac:dyDescent="0.25">
      <c r="A58" t="s">
        <v>1013</v>
      </c>
      <c r="D58" t="s">
        <v>750</v>
      </c>
      <c r="E58" t="s">
        <v>1095</v>
      </c>
      <c r="F58" t="s">
        <v>1041</v>
      </c>
      <c r="G58">
        <f t="shared" si="0"/>
        <v>136</v>
      </c>
    </row>
    <row r="59" spans="1:7" x14ac:dyDescent="0.25">
      <c r="A59" t="s">
        <v>1014</v>
      </c>
      <c r="D59" t="s">
        <v>756</v>
      </c>
      <c r="E59" t="s">
        <v>1096</v>
      </c>
      <c r="F59" t="s">
        <v>1041</v>
      </c>
      <c r="G59">
        <f t="shared" si="0"/>
        <v>137</v>
      </c>
    </row>
    <row r="60" spans="1:7" x14ac:dyDescent="0.25">
      <c r="A60" t="s">
        <v>1006</v>
      </c>
      <c r="D60" t="s">
        <v>779</v>
      </c>
      <c r="E60" t="s">
        <v>1097</v>
      </c>
      <c r="F60" t="s">
        <v>1041</v>
      </c>
      <c r="G60">
        <f t="shared" si="0"/>
        <v>138</v>
      </c>
    </row>
    <row r="61" spans="1:7" x14ac:dyDescent="0.25">
      <c r="A61" t="s">
        <v>1015</v>
      </c>
      <c r="D61" t="s">
        <v>727</v>
      </c>
      <c r="E61" t="s">
        <v>1098</v>
      </c>
      <c r="F61" t="s">
        <v>1041</v>
      </c>
      <c r="G61">
        <f t="shared" si="0"/>
        <v>139</v>
      </c>
    </row>
    <row r="62" spans="1:7" x14ac:dyDescent="0.25">
      <c r="A62" t="s">
        <v>1016</v>
      </c>
      <c r="D62" t="s">
        <v>842</v>
      </c>
      <c r="E62" t="s">
        <v>1099</v>
      </c>
      <c r="F62" t="s">
        <v>1041</v>
      </c>
      <c r="G62">
        <f t="shared" si="0"/>
        <v>140</v>
      </c>
    </row>
    <row r="63" spans="1:7" x14ac:dyDescent="0.25">
      <c r="A63" t="s">
        <v>1018</v>
      </c>
      <c r="D63" t="s">
        <v>768</v>
      </c>
      <c r="E63" t="s">
        <v>1100</v>
      </c>
      <c r="F63" t="s">
        <v>1041</v>
      </c>
      <c r="G63">
        <f t="shared" si="0"/>
        <v>141</v>
      </c>
    </row>
    <row r="64" spans="1:7" x14ac:dyDescent="0.25">
      <c r="A64" t="s">
        <v>1019</v>
      </c>
      <c r="D64" t="s">
        <v>725</v>
      </c>
      <c r="E64" t="s">
        <v>1101</v>
      </c>
      <c r="F64" t="s">
        <v>1041</v>
      </c>
      <c r="G64">
        <f t="shared" si="0"/>
        <v>142</v>
      </c>
    </row>
    <row r="65" spans="1:7" x14ac:dyDescent="0.25">
      <c r="A65" t="s">
        <v>1025</v>
      </c>
      <c r="D65" t="s">
        <v>766</v>
      </c>
      <c r="E65" t="s">
        <v>1102</v>
      </c>
      <c r="F65" t="s">
        <v>1041</v>
      </c>
      <c r="G65">
        <f t="shared" si="0"/>
        <v>143</v>
      </c>
    </row>
    <row r="66" spans="1:7" x14ac:dyDescent="0.25">
      <c r="A66" t="s">
        <v>1021</v>
      </c>
      <c r="D66" t="s">
        <v>758</v>
      </c>
      <c r="E66" t="s">
        <v>1103</v>
      </c>
      <c r="F66" t="s">
        <v>1041</v>
      </c>
      <c r="G66">
        <f t="shared" si="0"/>
        <v>144</v>
      </c>
    </row>
    <row r="67" spans="1:7" x14ac:dyDescent="0.25">
      <c r="A67" t="s">
        <v>1023</v>
      </c>
      <c r="D67" t="s">
        <v>739</v>
      </c>
      <c r="E67" t="s">
        <v>1104</v>
      </c>
      <c r="F67" t="s">
        <v>1041</v>
      </c>
      <c r="G67">
        <f t="shared" si="0"/>
        <v>145</v>
      </c>
    </row>
    <row r="68" spans="1:7" x14ac:dyDescent="0.25">
      <c r="A68" t="s">
        <v>1020</v>
      </c>
      <c r="D68" t="s">
        <v>844</v>
      </c>
      <c r="E68" t="s">
        <v>1102</v>
      </c>
      <c r="F68" t="s">
        <v>1041</v>
      </c>
      <c r="G68">
        <f t="shared" ref="G68:G85" si="1">+G67+1</f>
        <v>146</v>
      </c>
    </row>
    <row r="69" spans="1:7" x14ac:dyDescent="0.25">
      <c r="A69" t="s">
        <v>1022</v>
      </c>
      <c r="D69" t="s">
        <v>764</v>
      </c>
      <c r="E69" t="s">
        <v>1105</v>
      </c>
      <c r="F69" t="s">
        <v>1041</v>
      </c>
      <c r="G69">
        <f t="shared" si="1"/>
        <v>147</v>
      </c>
    </row>
    <row r="70" spans="1:7" x14ac:dyDescent="0.25">
      <c r="A70" t="s">
        <v>1024</v>
      </c>
      <c r="D70" t="s">
        <v>845</v>
      </c>
      <c r="E70" t="s">
        <v>1073</v>
      </c>
      <c r="F70" t="s">
        <v>1041</v>
      </c>
      <c r="G70">
        <f t="shared" si="1"/>
        <v>148</v>
      </c>
    </row>
    <row r="71" spans="1:7" x14ac:dyDescent="0.25">
      <c r="A71" t="s">
        <v>1026</v>
      </c>
      <c r="D71" t="s">
        <v>729</v>
      </c>
      <c r="E71" t="s">
        <v>1106</v>
      </c>
      <c r="F71" t="s">
        <v>1041</v>
      </c>
      <c r="G71">
        <f t="shared" si="1"/>
        <v>149</v>
      </c>
    </row>
    <row r="72" spans="1:7" x14ac:dyDescent="0.25">
      <c r="A72" t="s">
        <v>1027</v>
      </c>
      <c r="D72" t="s">
        <v>730</v>
      </c>
      <c r="E72" t="s">
        <v>1107</v>
      </c>
      <c r="F72" t="s">
        <v>1041</v>
      </c>
      <c r="G72">
        <f t="shared" si="1"/>
        <v>150</v>
      </c>
    </row>
    <row r="73" spans="1:7" x14ac:dyDescent="0.25">
      <c r="A73" t="s">
        <v>1017</v>
      </c>
      <c r="D73" t="s">
        <v>760</v>
      </c>
      <c r="E73" t="s">
        <v>1108</v>
      </c>
      <c r="F73" t="s">
        <v>1041</v>
      </c>
      <c r="G73">
        <f t="shared" si="1"/>
        <v>151</v>
      </c>
    </row>
    <row r="74" spans="1:7" x14ac:dyDescent="0.25">
      <c r="A74" t="s">
        <v>1028</v>
      </c>
      <c r="D74" t="s">
        <v>847</v>
      </c>
      <c r="E74" t="s">
        <v>1109</v>
      </c>
      <c r="F74" t="s">
        <v>1041</v>
      </c>
      <c r="G74">
        <f t="shared" si="1"/>
        <v>152</v>
      </c>
    </row>
    <row r="75" spans="1:7" x14ac:dyDescent="0.25">
      <c r="A75" t="s">
        <v>1029</v>
      </c>
      <c r="D75" t="s">
        <v>849</v>
      </c>
      <c r="E75" t="s">
        <v>1110</v>
      </c>
      <c r="F75" t="s">
        <v>1041</v>
      </c>
      <c r="G75">
        <f t="shared" si="1"/>
        <v>153</v>
      </c>
    </row>
    <row r="76" spans="1:7" x14ac:dyDescent="0.25">
      <c r="A76" t="s">
        <v>1030</v>
      </c>
      <c r="D76" t="s">
        <v>851</v>
      </c>
      <c r="E76" t="s">
        <v>1111</v>
      </c>
      <c r="F76" t="s">
        <v>1041</v>
      </c>
      <c r="G76">
        <f t="shared" si="1"/>
        <v>154</v>
      </c>
    </row>
    <row r="77" spans="1:7" x14ac:dyDescent="0.25">
      <c r="A77" t="s">
        <v>1031</v>
      </c>
      <c r="D77" t="s">
        <v>853</v>
      </c>
      <c r="E77" t="s">
        <v>1112</v>
      </c>
      <c r="F77" t="s">
        <v>1041</v>
      </c>
      <c r="G77">
        <f t="shared" si="1"/>
        <v>155</v>
      </c>
    </row>
    <row r="78" spans="1:7" x14ac:dyDescent="0.25">
      <c r="A78" t="s">
        <v>1032</v>
      </c>
      <c r="D78" t="s">
        <v>855</v>
      </c>
      <c r="E78" t="s">
        <v>1063</v>
      </c>
      <c r="F78" t="s">
        <v>1041</v>
      </c>
      <c r="G78">
        <f t="shared" si="1"/>
        <v>156</v>
      </c>
    </row>
    <row r="79" spans="1:7" x14ac:dyDescent="0.25">
      <c r="A79" t="s">
        <v>1033</v>
      </c>
      <c r="D79" t="s">
        <v>856</v>
      </c>
      <c r="E79" t="s">
        <v>1113</v>
      </c>
      <c r="F79" t="s">
        <v>1041</v>
      </c>
      <c r="G79">
        <f t="shared" si="1"/>
        <v>157</v>
      </c>
    </row>
    <row r="80" spans="1:7" x14ac:dyDescent="0.25">
      <c r="A80" t="s">
        <v>1034</v>
      </c>
      <c r="D80" t="s">
        <v>734</v>
      </c>
      <c r="E80" t="s">
        <v>1107</v>
      </c>
      <c r="F80" t="s">
        <v>1041</v>
      </c>
      <c r="G80">
        <f t="shared" si="1"/>
        <v>158</v>
      </c>
    </row>
    <row r="81" spans="1:7" x14ac:dyDescent="0.25">
      <c r="A81" t="s">
        <v>1035</v>
      </c>
      <c r="D81" t="s">
        <v>858</v>
      </c>
      <c r="E81" t="s">
        <v>1114</v>
      </c>
      <c r="F81" t="s">
        <v>1041</v>
      </c>
      <c r="G81">
        <f t="shared" si="1"/>
        <v>159</v>
      </c>
    </row>
    <row r="82" spans="1:7" x14ac:dyDescent="0.25">
      <c r="A82" t="s">
        <v>1036</v>
      </c>
      <c r="D82" t="s">
        <v>860</v>
      </c>
      <c r="E82" t="s">
        <v>1115</v>
      </c>
      <c r="F82" t="s">
        <v>1041</v>
      </c>
      <c r="G82">
        <f t="shared" si="1"/>
        <v>160</v>
      </c>
    </row>
    <row r="83" spans="1:7" x14ac:dyDescent="0.25">
      <c r="A83" t="s">
        <v>1037</v>
      </c>
      <c r="D83" t="s">
        <v>862</v>
      </c>
      <c r="E83" t="s">
        <v>1116</v>
      </c>
      <c r="F83" t="s">
        <v>1041</v>
      </c>
      <c r="G83">
        <f t="shared" si="1"/>
        <v>161</v>
      </c>
    </row>
    <row r="84" spans="1:7" x14ac:dyDescent="0.25">
      <c r="A84" t="s">
        <v>1038</v>
      </c>
      <c r="D84" t="s">
        <v>864</v>
      </c>
      <c r="E84" t="s">
        <v>1117</v>
      </c>
      <c r="F84" t="s">
        <v>1041</v>
      </c>
      <c r="G84">
        <f t="shared" si="1"/>
        <v>162</v>
      </c>
    </row>
    <row r="85" spans="1:7" x14ac:dyDescent="0.25">
      <c r="A85" t="s">
        <v>1039</v>
      </c>
      <c r="D85" t="s">
        <v>866</v>
      </c>
      <c r="E85" t="s">
        <v>1118</v>
      </c>
      <c r="F85" t="s">
        <v>1041</v>
      </c>
      <c r="G85">
        <f t="shared" si="1"/>
        <v>163</v>
      </c>
    </row>
    <row r="86" spans="1:7" x14ac:dyDescent="0.25">
      <c r="D86" t="s">
        <v>749</v>
      </c>
      <c r="E86" t="s">
        <v>1344</v>
      </c>
      <c r="G86">
        <v>164</v>
      </c>
    </row>
  </sheetData>
  <autoFilter ref="A1:F86" xr:uid="{ADC0D1BD-CBD6-4FDD-8E58-0924B607C25D}"/>
  <sortState xmlns:xlrd2="http://schemas.microsoft.com/office/spreadsheetml/2017/richdata2" ref="A2:A85">
    <sortCondition ref="A2:A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PREENFRIO</vt:lpstr>
      <vt:lpstr>CLIENTES-CEDIS</vt:lpstr>
      <vt:lpstr>RANGOS TEMPERATURA</vt:lpstr>
      <vt:lpstr>FINCAS</vt:lpstr>
      <vt:lpstr>SKU</vt:lpstr>
      <vt:lpstr>PRODUCTORES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Escobedo</dc:creator>
  <cp:lastModifiedBy>Bernardo Escobedo</cp:lastModifiedBy>
  <dcterms:created xsi:type="dcterms:W3CDTF">2026-08-04T19:41:18Z</dcterms:created>
  <dcterms:modified xsi:type="dcterms:W3CDTF">2026-08-21T21:08:59Z</dcterms:modified>
</cp:coreProperties>
</file>