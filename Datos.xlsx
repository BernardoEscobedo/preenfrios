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\preenfrio\"/>
    </mc:Choice>
  </mc:AlternateContent>
  <xr:revisionPtr revIDLastSave="0" documentId="13_ncr:1_{F0A36C04-E6E5-4B51-9906-23526A19135B}" xr6:coauthVersionLast="47" xr6:coauthVersionMax="47" xr10:uidLastSave="{00000000-0000-0000-0000-000000000000}"/>
  <bookViews>
    <workbookView xWindow="-28920" yWindow="-15" windowWidth="29040" windowHeight="15720" activeTab="1" xr2:uid="{870F0A8F-B5CF-4FD7-9FD6-C646EB212759}"/>
  </bookViews>
  <sheets>
    <sheet name="PREENFRIO" sheetId="1" r:id="rId1"/>
    <sheet name="CLIENTES-CEDIS" sheetId="2" r:id="rId2"/>
    <sheet name="RANGOS TEMPERATURA" sheetId="5" r:id="rId3"/>
    <sheet name="FINCAS" sheetId="3" r:id="rId4"/>
    <sheet name="SKU" sheetId="4" r:id="rId5"/>
  </sheets>
  <definedNames>
    <definedName name="_xlnm._FilterDatabase" localSheetId="1" hidden="1">'CLIENTES-CEDIS'!$A$1:$C$42</definedName>
    <definedName name="_xlnm._FilterDatabase" localSheetId="3" hidden="1">FINCAS!$A$1:$B$284</definedName>
    <definedName name="_xlnm._FilterDatabase" localSheetId="2" hidden="1">'RANGOS TEMPERATURA'!$A$1:$C$1</definedName>
    <definedName name="_xlnm._FilterDatabase" localSheetId="4" hidden="1">SKU!$A$1:$B$39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1" i="2" l="1"/>
  <c r="B42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</calcChain>
</file>

<file path=xl/sharedStrings.xml><?xml version="1.0" encoding="utf-8"?>
<sst xmlns="http://schemas.openxmlformats.org/spreadsheetml/2006/main" count="795" uniqueCount="654">
  <si>
    <t>PREENFRIO</t>
  </si>
  <si>
    <t>CP_CHI_NELLY</t>
  </si>
  <si>
    <t>CP_CHI_FORTALEZA</t>
  </si>
  <si>
    <t>REGION</t>
  </si>
  <si>
    <t>CHIAPAS</t>
  </si>
  <si>
    <t>OMAR ARAGON</t>
  </si>
  <si>
    <t>CRISTIAN CARBALLO</t>
  </si>
  <si>
    <t>SUPERVISOR</t>
  </si>
  <si>
    <t>LATITUD</t>
  </si>
  <si>
    <t>LONGITUD</t>
  </si>
  <si>
    <t>HUEHUETAN</t>
  </si>
  <si>
    <t>km. 7 carretera huehuetán-ejido nueva victoria, 30665 huehuetán, chis.</t>
  </si>
  <si>
    <t>MAZATAN</t>
  </si>
  <si>
    <t>Carretera Costera KM. 255 Mazatan, Chiapas C.P. 30650</t>
  </si>
  <si>
    <t>MUNICIPIO</t>
  </si>
  <si>
    <t>CP</t>
  </si>
  <si>
    <t>DIRECCION</t>
  </si>
  <si>
    <t>UBICACIÓN</t>
  </si>
  <si>
    <t>CAPACIDAD</t>
  </si>
  <si>
    <t>TARIMAS MAX CONSERVA</t>
  </si>
  <si>
    <t>TARIMAS MAX PREENFRIO</t>
  </si>
  <si>
    <t>CAJAS MAX EN CONSERVA</t>
  </si>
  <si>
    <t>CAJAS MAX EN PREENFRIO</t>
  </si>
  <si>
    <t>CEDIS</t>
  </si>
  <si>
    <t>RECHAZO</t>
  </si>
  <si>
    <t>LOCAL</t>
  </si>
  <si>
    <t>TARIMAS</t>
  </si>
  <si>
    <t>MATERIALES</t>
  </si>
  <si>
    <t>CHALCO</t>
  </si>
  <si>
    <t>CENTRAL DE ABASTO</t>
  </si>
  <si>
    <t>S-MART</t>
  </si>
  <si>
    <t>NUEVA WALMART</t>
  </si>
  <si>
    <t>CEDIS CHIHUAHUA</t>
  </si>
  <si>
    <t>JAPON</t>
  </si>
  <si>
    <t>CHANITOS INTERNATIONAL</t>
  </si>
  <si>
    <t>UNITED NATURAL FOODS, INC</t>
  </si>
  <si>
    <t>PATROCINIO</t>
  </si>
  <si>
    <t>SORIANA</t>
  </si>
  <si>
    <t>CHEDRAUI</t>
  </si>
  <si>
    <t>CENTRAL PLATANERA</t>
  </si>
  <si>
    <t>CIUDAD JUAREZ</t>
  </si>
  <si>
    <t>IZTAPALAPA</t>
  </si>
  <si>
    <t>CHIHUAHUA</t>
  </si>
  <si>
    <t>MC ALLEN</t>
  </si>
  <si>
    <t>TULTITLAN</t>
  </si>
  <si>
    <t>ZUMPANGO</t>
  </si>
  <si>
    <t>CULIACAN</t>
  </si>
  <si>
    <t>GUADALAJARA</t>
  </si>
  <si>
    <t>MONTERREY</t>
  </si>
  <si>
    <t>QUERETARO</t>
  </si>
  <si>
    <t>SAN MARTIN DE OBISPO</t>
  </si>
  <si>
    <t>VILLAHERMOSA</t>
  </si>
  <si>
    <t>TAPACHULA</t>
  </si>
  <si>
    <t>COLIMA</t>
  </si>
  <si>
    <t>TABASCO</t>
  </si>
  <si>
    <t>ACRONIMO</t>
  </si>
  <si>
    <t>CLIENTE</t>
  </si>
  <si>
    <t>CHH</t>
  </si>
  <si>
    <t>CEDA IZT</t>
  </si>
  <si>
    <t>CEDA TULTI</t>
  </si>
  <si>
    <t>CDA JUAREZ</t>
  </si>
  <si>
    <t>MC ALLEN INT</t>
  </si>
  <si>
    <t>CHEDRAUI ZUM</t>
  </si>
  <si>
    <t>LOCAL TAP</t>
  </si>
  <si>
    <t>LOCAL COL</t>
  </si>
  <si>
    <t>LOCAL TAB</t>
  </si>
  <si>
    <t>WM CHALCO</t>
  </si>
  <si>
    <t>WM CLN</t>
  </si>
  <si>
    <t>WM GDL</t>
  </si>
  <si>
    <t>WM MTY</t>
  </si>
  <si>
    <t>WM QRO</t>
  </si>
  <si>
    <t>WM SMO</t>
  </si>
  <si>
    <t>WM VSA</t>
  </si>
  <si>
    <t>S-MART CD JUAREZ</t>
  </si>
  <si>
    <t>S-MART MTY</t>
  </si>
  <si>
    <t>MC ALLEN UNFI</t>
  </si>
  <si>
    <t>RECHAZO WM CHALCO</t>
  </si>
  <si>
    <t>RECHAZO WM CLN</t>
  </si>
  <si>
    <t>RECHAZO WM GDL</t>
  </si>
  <si>
    <t>RECHAZO WM MTY</t>
  </si>
  <si>
    <t>RECHAZO WM QRO</t>
  </si>
  <si>
    <t>RECHAZO WM SMO</t>
  </si>
  <si>
    <t>RECHAZO WM VSA</t>
  </si>
  <si>
    <t>RECHAZO S-MART CD JUAREZ</t>
  </si>
  <si>
    <t>RECHAZO S-MART MTY</t>
  </si>
  <si>
    <t>RECHAZO SORIANA</t>
  </si>
  <si>
    <t>RECHAZO MC ALLEN UNFI</t>
  </si>
  <si>
    <t>RECHAZO CHEDRAUI ZUM</t>
  </si>
  <si>
    <t>MATERIALES TAP</t>
  </si>
  <si>
    <t>MATERIALES COL</t>
  </si>
  <si>
    <t>MATERIALES TAB</t>
  </si>
  <si>
    <t>TARIMAS TAP</t>
  </si>
  <si>
    <t>TARIMAS COL</t>
  </si>
  <si>
    <t>TARIMAS TAB</t>
  </si>
  <si>
    <t>Finca</t>
  </si>
  <si>
    <t>Org de Inv</t>
  </si>
  <si>
    <t>A11 087 19 de Abril</t>
  </si>
  <si>
    <t>FN_CHI_19_DE_ABRIL</t>
  </si>
  <si>
    <t>A04 033 Carlota Nava</t>
  </si>
  <si>
    <t>FN_CHI_CARLOTA</t>
  </si>
  <si>
    <t>A11 092 Composta</t>
  </si>
  <si>
    <t>FN_CHI_COMPOSTA</t>
  </si>
  <si>
    <t>A25 067 El Cuerudo GT</t>
  </si>
  <si>
    <t>FN_CHI_CUERUDO</t>
  </si>
  <si>
    <t>A25 022 Doña Mildred</t>
  </si>
  <si>
    <t>FN_CHI_DONA_MILDRE</t>
  </si>
  <si>
    <t>A01 003 Doña Nelly</t>
  </si>
  <si>
    <t>FN_CHI_DONA_NELLY</t>
  </si>
  <si>
    <t>A26 077 Dorado  Nuevo</t>
  </si>
  <si>
    <t>FN_CHI_DORADO_NUEV</t>
  </si>
  <si>
    <t>A05 042 El Conde</t>
  </si>
  <si>
    <t>FN_CHI_EL_CONDE</t>
  </si>
  <si>
    <t>A39 95 Esquipulas</t>
  </si>
  <si>
    <t>FN_CHI_ESQUIPULAS</t>
  </si>
  <si>
    <t>A39 095 Esquipulas</t>
  </si>
  <si>
    <t>A01 002 Fortaleza</t>
  </si>
  <si>
    <t>FN_CHI_FORTALEZA</t>
  </si>
  <si>
    <t>A04 005 La Gloria</t>
  </si>
  <si>
    <t>FN_CHI_GLORIA</t>
  </si>
  <si>
    <t>A36 090 Heavy</t>
  </si>
  <si>
    <t>FN_CHI_HEAVY</t>
  </si>
  <si>
    <t>A36 075 Heidy</t>
  </si>
  <si>
    <t>FN_CHI_HEIDY</t>
  </si>
  <si>
    <t>A01 004 La Ceiba</t>
  </si>
  <si>
    <t>FN_CHI_LA_CEIBA</t>
  </si>
  <si>
    <t>A38 094 Lagartero</t>
  </si>
  <si>
    <t>FN_CHI_LAGARTERO</t>
  </si>
  <si>
    <t>A04 084 Lisboa</t>
  </si>
  <si>
    <t>FN_CHI_LISBOA</t>
  </si>
  <si>
    <t>A35 082 Empaque de Macho Ej Libertad</t>
  </si>
  <si>
    <t>FN_CHI_MACH_LIB</t>
  </si>
  <si>
    <t>A01 001 Marbella</t>
  </si>
  <si>
    <t>FN_CHI_MARBELLA</t>
  </si>
  <si>
    <t>A11 045 Sector Mazatan</t>
  </si>
  <si>
    <t>FN_CHI_MAZATAN</t>
  </si>
  <si>
    <t>A27 073 Plantacion</t>
  </si>
  <si>
    <t>FN_CHI_PLANTACION</t>
  </si>
  <si>
    <t>A05 040 Plataneros Unidos 1</t>
  </si>
  <si>
    <t>FN_CHI_PLATANEROS1</t>
  </si>
  <si>
    <t>A05 041 Plataneros Unidos 2</t>
  </si>
  <si>
    <t>FN_CHI_PLATANEROS2</t>
  </si>
  <si>
    <t>A05 041 Plataneros Unidos 2 Cotan o Micros</t>
  </si>
  <si>
    <t>A11 056 San Isidro</t>
  </si>
  <si>
    <t>FN_CHI_SAN_ISIDRO</t>
  </si>
  <si>
    <t>A04 083 Santa Maria</t>
  </si>
  <si>
    <t>FN_CHI_SANTA_MARIA</t>
  </si>
  <si>
    <t>A04 038 El Triunfo Nava</t>
  </si>
  <si>
    <t>FN_CHI_TRIUNFONAV</t>
  </si>
  <si>
    <t>A25 031 Vigor</t>
  </si>
  <si>
    <t>FN_CHI_VIGOR</t>
  </si>
  <si>
    <t>B01 248 La Escolar JR</t>
  </si>
  <si>
    <t>FN_CO_LAESCOLAR_JR</t>
  </si>
  <si>
    <t>B20 248 La Escolar JR</t>
  </si>
  <si>
    <t>B01 020 Ada Nares</t>
  </si>
  <si>
    <t>FN_COL_ADA_NARES</t>
  </si>
  <si>
    <t>B05 277 Adan Ursua</t>
  </si>
  <si>
    <t>FN_COL_ADAN_URSUA</t>
  </si>
  <si>
    <t>B05 086 Agua Sanchez</t>
  </si>
  <si>
    <t>FN_COL_AGUA_SANCHZ</t>
  </si>
  <si>
    <t>B03 266 El Aguacate JL</t>
  </si>
  <si>
    <t>FN_COL_AGUACATE</t>
  </si>
  <si>
    <t>B03 281 El Aguila</t>
  </si>
  <si>
    <t>FN_COL_AGUILA</t>
  </si>
  <si>
    <t>B01 016 Aldo Bravo</t>
  </si>
  <si>
    <t>FN_COL_ALDO_BRAVO</t>
  </si>
  <si>
    <t>B20 016 Aldo Bravo</t>
  </si>
  <si>
    <t>B20 279 Las animas</t>
  </si>
  <si>
    <t>FN_COL_ANIMAS</t>
  </si>
  <si>
    <t>B01 152 Baltazar Campuzano</t>
  </si>
  <si>
    <t>FN_COL_BALTAZAR_CA</t>
  </si>
  <si>
    <t>B01 024 Ricardo Botelo</t>
  </si>
  <si>
    <t>FN_COL_BOTELLO</t>
  </si>
  <si>
    <t>B01 181 Cabañas</t>
  </si>
  <si>
    <t>FN_COL_CABANAS</t>
  </si>
  <si>
    <t>B19 242 Cahuite Arceo</t>
  </si>
  <si>
    <t>FN_COL_CAHUI_ARCEO</t>
  </si>
  <si>
    <t>B19 264 Coahuayana</t>
  </si>
  <si>
    <t>B02 250 Cahuite</t>
  </si>
  <si>
    <t>FN_COL_CAHUITE_OCH</t>
  </si>
  <si>
    <t>B20 273 Caleras Moreno</t>
  </si>
  <si>
    <t>FN_COL_CALERAS</t>
  </si>
  <si>
    <t>B14 167 Callejones</t>
  </si>
  <si>
    <t>FN_COL_CALLEJONES</t>
  </si>
  <si>
    <t>B15  094 Camalote</t>
  </si>
  <si>
    <t>FN_COL_CAMALOTE</t>
  </si>
  <si>
    <t xml:space="preserve">B15  094 Camalote </t>
  </si>
  <si>
    <t xml:space="preserve">b06 084 Caspejo </t>
  </si>
  <si>
    <t>FN_COL_CASPEJO</t>
  </si>
  <si>
    <t xml:space="preserve">B01 084 Caspejo </t>
  </si>
  <si>
    <t>B01 100 Castrejon</t>
  </si>
  <si>
    <t>FN_COL_CASTREJON</t>
  </si>
  <si>
    <t>B20 270 Cerrito de aguilar</t>
  </si>
  <si>
    <t>FN_COL_CERRITO</t>
  </si>
  <si>
    <t>B22 270 Cerrito de aguilar</t>
  </si>
  <si>
    <t>B14 188 Chanchopa</t>
  </si>
  <si>
    <t>FN_COL_CHANCHOPA</t>
  </si>
  <si>
    <t>B01 254 Chiclon Hector Tapia</t>
  </si>
  <si>
    <t>FN_COL_CHICLONHT</t>
  </si>
  <si>
    <t>B01 006 Chocokillo</t>
  </si>
  <si>
    <t>FN_COL_CHOCOKILLO</t>
  </si>
  <si>
    <t>B02 039 Cofradia Ochoa</t>
  </si>
  <si>
    <t>FN_COL_COFRADIA</t>
  </si>
  <si>
    <t>B21 039 Cofradia</t>
  </si>
  <si>
    <t>B03 057 Colomo</t>
  </si>
  <si>
    <t>FN_COL_COLOMO</t>
  </si>
  <si>
    <t>B02 272 La Coneja</t>
  </si>
  <si>
    <t>FN_COL_CONEJA</t>
  </si>
  <si>
    <t>B21 272 La Coneja</t>
  </si>
  <si>
    <t>B20 278 Crucero del Ticuiz</t>
  </si>
  <si>
    <t>FN_COL_CRUCEROTIQ</t>
  </si>
  <si>
    <t>B07 247 Los Cuartones</t>
  </si>
  <si>
    <t>FN_COL_CUARTONES</t>
  </si>
  <si>
    <t>B02 044 Delfina</t>
  </si>
  <si>
    <t>FN_COL_DELFINA</t>
  </si>
  <si>
    <t>B07 223 El Ejemplo</t>
  </si>
  <si>
    <t>FN_COL_EJEMPLO</t>
  </si>
  <si>
    <t>B07 223 El Ejemplo EV</t>
  </si>
  <si>
    <t>B03 207 El Bajio</t>
  </si>
  <si>
    <t>FN_COL_EL_BAJIO</t>
  </si>
  <si>
    <t>B03 058 El Banco</t>
  </si>
  <si>
    <t>FN_COL_EL_BANCO</t>
  </si>
  <si>
    <t>B12 194 El Café</t>
  </si>
  <si>
    <t>FN_COL_EL_CAFE</t>
  </si>
  <si>
    <t>b20 053 Cahuite RPC</t>
  </si>
  <si>
    <t>FN_COL_EL_CAHUITE</t>
  </si>
  <si>
    <t>B01 053 Cahuite RPC</t>
  </si>
  <si>
    <t>B01 053 Cahuite Ricamp</t>
  </si>
  <si>
    <t>B20 053 Cahuite Ricamp</t>
  </si>
  <si>
    <t>B20 053 Cahuite</t>
  </si>
  <si>
    <t>B20 053 El Cahuite</t>
  </si>
  <si>
    <t>B20 053 Cahuite ES</t>
  </si>
  <si>
    <t xml:space="preserve">B03 260 El Espinal </t>
  </si>
  <si>
    <t>FN_COL_EL_ESPINAL</t>
  </si>
  <si>
    <t>B01 214 El Minuto</t>
  </si>
  <si>
    <t>FN_COL_EL_MINUTO</t>
  </si>
  <si>
    <t>B20 214 El Minuto</t>
  </si>
  <si>
    <t>B20 275 Ticuiz al Ogro JG</t>
  </si>
  <si>
    <t>FN_COL_EL_OGRO</t>
  </si>
  <si>
    <t>B03 071 Paraiso</t>
  </si>
  <si>
    <t>FN_COL_EL_PARAISO</t>
  </si>
  <si>
    <t>B20 185 El Sueño</t>
  </si>
  <si>
    <t>FN_COL_EL_SUENO</t>
  </si>
  <si>
    <t>B01 185 El Sueño</t>
  </si>
  <si>
    <t>B20 238 Empaque Moreno</t>
  </si>
  <si>
    <t>FN_COL_EMPAQUE_MOR</t>
  </si>
  <si>
    <t>B04 171 La Escondida</t>
  </si>
  <si>
    <t>FN_COL_ESCON_BANAM</t>
  </si>
  <si>
    <t>B05 030 Fernando Velazco</t>
  </si>
  <si>
    <t>FN_COL_FERNANDO_VE</t>
  </si>
  <si>
    <t>B05 193 El Palmar Gladis Garcia</t>
  </si>
  <si>
    <t>FN_COL_GLADIS_GCIA</t>
  </si>
  <si>
    <t>B01 232 Guatepots</t>
  </si>
  <si>
    <t>FN_COL_GUATEPOTS</t>
  </si>
  <si>
    <t>B07 280 La Guerita</t>
  </si>
  <si>
    <t>FN_COL_GUERITA</t>
  </si>
  <si>
    <t>B20 267 La Hermita</t>
  </si>
  <si>
    <t>FN_COL_HERMITA</t>
  </si>
  <si>
    <t>B06 267 La Hermita</t>
  </si>
  <si>
    <t>B06 230 El Vado</t>
  </si>
  <si>
    <t>B06 253 Hermanos Rivera (Jose Rivera)</t>
  </si>
  <si>
    <t>FN_COL_HNOSRIVERA</t>
  </si>
  <si>
    <t>B01 019 Jesus Mendoza</t>
  </si>
  <si>
    <t>FN_COL_JES_MEN</t>
  </si>
  <si>
    <t>B05 161 Jesus Campuzano</t>
  </si>
  <si>
    <t>FN_COL_JESUS_CAMP</t>
  </si>
  <si>
    <t>B20 240 Javier Leyva</t>
  </si>
  <si>
    <t>FN_COL_JLEYVA</t>
  </si>
  <si>
    <t>B02 037 Jorge Ochoa</t>
  </si>
  <si>
    <t>FN_COL_JORGE_OCHOA</t>
  </si>
  <si>
    <t>B15 218 Juan Rocha</t>
  </si>
  <si>
    <t>FN_COL_JUANROCHA</t>
  </si>
  <si>
    <t>B03 158 El Bado</t>
  </si>
  <si>
    <t>FN_COL_KAREN_GLEZ</t>
  </si>
  <si>
    <t>B02 183 Ceiba</t>
  </si>
  <si>
    <t>FN_COL_LA_CEIBA</t>
  </si>
  <si>
    <t>B02 089 Callejones la curva</t>
  </si>
  <si>
    <t>FN_COL_LA_CURVA</t>
  </si>
  <si>
    <t>B21 089 Callejones 1</t>
  </si>
  <si>
    <t>B21 089 Callejones La curva</t>
  </si>
  <si>
    <t>B05 112 La Guinea</t>
  </si>
  <si>
    <t>FN_COL_LA_GUINEA</t>
  </si>
  <si>
    <t>B15 096 La Ilusion</t>
  </si>
  <si>
    <t>FN_COL_LA_ILUSION</t>
  </si>
  <si>
    <t>B12 140 La Laguna</t>
  </si>
  <si>
    <t>FN_COL_LA_LAGUNA</t>
  </si>
  <si>
    <t>B20 051 La Limonera</t>
  </si>
  <si>
    <t>FN_COL_LA_LIMONERA</t>
  </si>
  <si>
    <t>B01 187 Fabiola Moreno Ochoa</t>
  </si>
  <si>
    <t>B04 079 La Luna</t>
  </si>
  <si>
    <t>FN_COL_LA_LUNA</t>
  </si>
  <si>
    <t>B03 138 La mojonera</t>
  </si>
  <si>
    <t>FN_COL_LA_MOJONERA</t>
  </si>
  <si>
    <t>B20 119 La Parcela Escolar</t>
  </si>
  <si>
    <t>FN_COL_LA_PARCELA</t>
  </si>
  <si>
    <t>B20 119 La Parcela Escolar LG</t>
  </si>
  <si>
    <t>B03 119 La Parcela Escolar</t>
  </si>
  <si>
    <t>B07 221 La Perla del Rincon</t>
  </si>
  <si>
    <t>FN_COL_LA_PERLA</t>
  </si>
  <si>
    <t>B04 074 La Playa B4</t>
  </si>
  <si>
    <t>FN_COL_LA_PLAYA</t>
  </si>
  <si>
    <t>B20 173 La Playa UE</t>
  </si>
  <si>
    <t>FN_COL_LA_PLAYA_UL</t>
  </si>
  <si>
    <t>B07 173 La Playa UE</t>
  </si>
  <si>
    <t>B06 173 La Playa UE</t>
  </si>
  <si>
    <t>B06173 La Playa UE</t>
  </si>
  <si>
    <t>B03 142 La Popa</t>
  </si>
  <si>
    <t>FN_COL_LA_POPA</t>
  </si>
  <si>
    <t>B03 210 La Popa</t>
  </si>
  <si>
    <t>B01 033 Soledad</t>
  </si>
  <si>
    <t>FN_COL_LA_SOLEDAD</t>
  </si>
  <si>
    <t>B03 033 Soledad</t>
  </si>
  <si>
    <t>B20 033 Soledad</t>
  </si>
  <si>
    <t>B14 283 La Laguna GG</t>
  </si>
  <si>
    <t>FN_COL_LAGUNAGG</t>
  </si>
  <si>
    <t>B20 265 Laguna JG</t>
  </si>
  <si>
    <t>FN_COL_LAGUNAJG</t>
  </si>
  <si>
    <t>B03 160 Las 30</t>
  </si>
  <si>
    <t>FN_COL_LAS_30</t>
  </si>
  <si>
    <t xml:space="preserve">B01 105 Las 500 </t>
  </si>
  <si>
    <t>FN_COL_LAS_500</t>
  </si>
  <si>
    <t>B03 082 Albercas</t>
  </si>
  <si>
    <t>FN_COL_LAS_ALBERCA</t>
  </si>
  <si>
    <t>B07 201 Las Guasimas</t>
  </si>
  <si>
    <t>FN_COL_LAS_GUASIMA</t>
  </si>
  <si>
    <t>B03 151 Finca Las Hamacas</t>
  </si>
  <si>
    <t>FN_COL_LAS_HAMACAS</t>
  </si>
  <si>
    <t>B07 075 Las Palmas</t>
  </si>
  <si>
    <t>FN_COL_LAS_PALMAS</t>
  </si>
  <si>
    <t>B01 077 Las Parotas</t>
  </si>
  <si>
    <t>FN_COL_LAS_PAROTAS</t>
  </si>
  <si>
    <t xml:space="preserve">B01 106 Las Trancas  </t>
  </si>
  <si>
    <t>FN_COL_LAS_TRANCAS</t>
  </si>
  <si>
    <t xml:space="preserve">B05 111 Leonarda </t>
  </si>
  <si>
    <t>FN_COL_LEONARDA</t>
  </si>
  <si>
    <t>B15 178 Los Almendros</t>
  </si>
  <si>
    <t>FN_COL_LOS_ALMENDR</t>
  </si>
  <si>
    <t>B15 095 Los dos Hermanos Juan Valdivia</t>
  </si>
  <si>
    <t>FN_COL_LOS_DOS_HER</t>
  </si>
  <si>
    <t>B15 097 Los Milagritos</t>
  </si>
  <si>
    <t>FN_COL_LOS_MILAGRI</t>
  </si>
  <si>
    <t>B03 097 Los Milagritos</t>
  </si>
  <si>
    <t xml:space="preserve">B20 102 Manuel Leiva </t>
  </si>
  <si>
    <t>FN_COL_MANUEL_LEYV</t>
  </si>
  <si>
    <t>B01 102 Manuel Leiva</t>
  </si>
  <si>
    <t>B20 257 Mariachi</t>
  </si>
  <si>
    <t>FN_COL_MARIACHI</t>
  </si>
  <si>
    <t>B02 041 Mariana 1</t>
  </si>
  <si>
    <t>FN_COL_MARIANA_1</t>
  </si>
  <si>
    <t>B20 041 Mariana 1</t>
  </si>
  <si>
    <t xml:space="preserve">B02 170 Mariana 2 </t>
  </si>
  <si>
    <t>FN_COL_MARIANA_2</t>
  </si>
  <si>
    <t>B21 170 Mariana 2</t>
  </si>
  <si>
    <t>B02 042 Mariana 4</t>
  </si>
  <si>
    <t>FN_COL_MARIANA_4</t>
  </si>
  <si>
    <t>B21 042 Mariana 4 y 5</t>
  </si>
  <si>
    <t>B02 043 Mariana 6</t>
  </si>
  <si>
    <t>FN_COL_MARIANA_6</t>
  </si>
  <si>
    <t>B05 070 Mario Garcia</t>
  </si>
  <si>
    <t>FN_COL_MARIO_GCIA</t>
  </si>
  <si>
    <t>B07 162 Memin</t>
  </si>
  <si>
    <t>FN_COL_MEMINC</t>
  </si>
  <si>
    <t>B20 258 Moctezuma JG</t>
  </si>
  <si>
    <t>FN_COL_MOCTEZUMA</t>
  </si>
  <si>
    <t>B07 258 Moctezuma JG</t>
  </si>
  <si>
    <t>B01 258 Moctezuma JG</t>
  </si>
  <si>
    <t>B01 258 Montezuma</t>
  </si>
  <si>
    <t>B01 189 Norma</t>
  </si>
  <si>
    <t>FN_COL_NORMA</t>
  </si>
  <si>
    <t>B01 026 Orliz</t>
  </si>
  <si>
    <t>FN_COL_ORLIZ</t>
  </si>
  <si>
    <t>B05 271 Pacifico</t>
  </si>
  <si>
    <t>FN_COL_PACIFICO</t>
  </si>
  <si>
    <t>B04 216 Palmas</t>
  </si>
  <si>
    <t>FN_COL_PALMAS_DEYS</t>
  </si>
  <si>
    <t>B03 177 Las Palmas</t>
  </si>
  <si>
    <t>FN_COL_PALMAS_JL</t>
  </si>
  <si>
    <t xml:space="preserve">B03 177 Las Palmas </t>
  </si>
  <si>
    <t>B05 199 Paraiso 1</t>
  </si>
  <si>
    <t>FN_COL_PARAISO_1</t>
  </si>
  <si>
    <t>B05 196 Paraiso 2</t>
  </si>
  <si>
    <t>FN_COL_PARAISO_2</t>
  </si>
  <si>
    <t>B05  251 Paraiso 3</t>
  </si>
  <si>
    <t>FN_COL_PARAISO_3</t>
  </si>
  <si>
    <t>B04 123 Parota, Banamac</t>
  </si>
  <si>
    <t>FN_COL_PAROTA</t>
  </si>
  <si>
    <t>B19 245 Parota DA</t>
  </si>
  <si>
    <t>FN_COL_PAROTA_DA</t>
  </si>
  <si>
    <t>B20 249 Parotas JG</t>
  </si>
  <si>
    <t>FN_COL_PAROTAS_JG</t>
  </si>
  <si>
    <t>B06 236 Don Goyo</t>
  </si>
  <si>
    <t>FN_COL_PENA_GOYO</t>
  </si>
  <si>
    <t>B01 236 Don Goyo</t>
  </si>
  <si>
    <t>B01 003 Pitillo</t>
  </si>
  <si>
    <t>FN_COL_PITILLO</t>
  </si>
  <si>
    <t>B07 038 Puerta de Golpe</t>
  </si>
  <si>
    <t>FN_COL_PUERTA_DE_G</t>
  </si>
  <si>
    <t>B20 268 Raulin</t>
  </si>
  <si>
    <t>FN_COL_RAULIN</t>
  </si>
  <si>
    <t>B01 276 Raul Ortega</t>
  </si>
  <si>
    <t>FN_COL_RAULORT</t>
  </si>
  <si>
    <t>B01 036 Rio WP</t>
  </si>
  <si>
    <t>FN_COL_RIO_WILMAR</t>
  </si>
  <si>
    <t>B20 260 Ruben Bravo JG</t>
  </si>
  <si>
    <t>FN_COL_RUBENBRAV</t>
  </si>
  <si>
    <t>B20 261 Ruben Bravo JG</t>
  </si>
  <si>
    <t>B04 080 San Cristobal</t>
  </si>
  <si>
    <t>FN_COL_SAN_CRISTOB</t>
  </si>
  <si>
    <t>B03 055 San Jorge</t>
  </si>
  <si>
    <t>FN_COL_SAN_JORGE</t>
  </si>
  <si>
    <t xml:space="preserve">B20 211 San Miguel Ojo de Agua </t>
  </si>
  <si>
    <t>FN_COL_SAN_MIGUEL</t>
  </si>
  <si>
    <t xml:space="preserve">B07 211 San Miguel Ojo de Agua </t>
  </si>
  <si>
    <t xml:space="preserve">B06 211 San Miguel Ojo de Agua </t>
  </si>
  <si>
    <t>B06 211 San Miguel Ojo de Agua</t>
  </si>
  <si>
    <t>B12 015 San Rafael</t>
  </si>
  <si>
    <t>FN_COL_SAN_RAFAEL</t>
  </si>
  <si>
    <t>B14 175 Santa Elena</t>
  </si>
  <si>
    <t>FN_COL_SANTA_ELENA</t>
  </si>
  <si>
    <t>A16 064 Santa Elena</t>
  </si>
  <si>
    <t>B15 209 San Vicente</t>
  </si>
  <si>
    <t>FN_COL_SANVICENTE</t>
  </si>
  <si>
    <t>B06 209 San Vicente</t>
  </si>
  <si>
    <t>B03 284 Saucera</t>
  </si>
  <si>
    <t>FN_COL_SAUCERA</t>
  </si>
  <si>
    <t>B14 165 El Saucito 1 GG</t>
  </si>
  <si>
    <t>FN_COL_SAUCITO_1</t>
  </si>
  <si>
    <t>B14 174 El Saucito 2 GG</t>
  </si>
  <si>
    <t>FN_COL_SAUCITO_2</t>
  </si>
  <si>
    <t>B02 197 Santa Rosa</t>
  </si>
  <si>
    <t>FN_COL_STAROSA</t>
  </si>
  <si>
    <t>B01 022 Ticho</t>
  </si>
  <si>
    <t>FN_COL_TICHO</t>
  </si>
  <si>
    <t>B01 078 Ticuiz</t>
  </si>
  <si>
    <t>FN_COL_TIQUIZ</t>
  </si>
  <si>
    <t>B15 186 Topete</t>
  </si>
  <si>
    <t>FN_COL_TOPETE</t>
  </si>
  <si>
    <t>B03 186 Topete</t>
  </si>
  <si>
    <t>B03 061 La Tostada</t>
  </si>
  <si>
    <t>FN_COL_TOSTADA</t>
  </si>
  <si>
    <t>B05 061 La Tostada</t>
  </si>
  <si>
    <t>B06 231 Frutas Valle Abarca</t>
  </si>
  <si>
    <t>FN_COL_VALLE_ABARC</t>
  </si>
  <si>
    <t>B02 045 Valle Nuevo 1</t>
  </si>
  <si>
    <t>FN_COL_VALLE_NUE1</t>
  </si>
  <si>
    <t>B07 045 Valle Nuevo 1</t>
  </si>
  <si>
    <t>B21045 Valle Nuevo 1</t>
  </si>
  <si>
    <t>B02045 Valle Nuevo 1</t>
  </si>
  <si>
    <t>B21 045 Valle Nuevo 1</t>
  </si>
  <si>
    <t>B21 045 Valle Nuevo</t>
  </si>
  <si>
    <t>B02 046 Valle Nuevo 2</t>
  </si>
  <si>
    <t>FN_COL_VALLE_NUE2</t>
  </si>
  <si>
    <t>B21 046 Valle Nuevo 2</t>
  </si>
  <si>
    <t>B21 046  Valle Nuevo  2</t>
  </si>
  <si>
    <t>B07 262 El Venado EV</t>
  </si>
  <si>
    <t>FN_COL_VENADO_EV</t>
  </si>
  <si>
    <t>B03 025 Zanja Prieta</t>
  </si>
  <si>
    <t>FN_COL_ZANJA_PRIET</t>
  </si>
  <si>
    <t>B20 125 Zapotan</t>
  </si>
  <si>
    <t>FN_COL_ZAPOTAN</t>
  </si>
  <si>
    <t>B03 125 Zapotan</t>
  </si>
  <si>
    <t>B19 263 Nenitas</t>
  </si>
  <si>
    <t>FN_COL_ZARAGOZA</t>
  </si>
  <si>
    <t>B19 228 Zaragoza</t>
  </si>
  <si>
    <t>C05 020 Candelaria</t>
  </si>
  <si>
    <t>FN_TAB_CANDELARIA</t>
  </si>
  <si>
    <t>C11 031 El Dolar</t>
  </si>
  <si>
    <t>FN_TAB_EL_DOLAR</t>
  </si>
  <si>
    <t>C19 043 Felipe Martinez Ruiz</t>
  </si>
  <si>
    <t>FN_TAB_FELIPE_MTZ</t>
  </si>
  <si>
    <t>C01 0G2 Genesis 2</t>
  </si>
  <si>
    <t>FN_TAB_GEN_II_FC</t>
  </si>
  <si>
    <t>C01 0G3 Genesis 3</t>
  </si>
  <si>
    <t>FN_TAB_GEN_III_FC</t>
  </si>
  <si>
    <t>C05 021 Tembladera</t>
  </si>
  <si>
    <t>FN_TAB_TEMBLADERA</t>
  </si>
  <si>
    <t>A05 93 Cotan y Palmas altas</t>
  </si>
  <si>
    <t>FN_CHI_COTAN</t>
  </si>
  <si>
    <t>A40 096 Cuauhtemoc</t>
  </si>
  <si>
    <t>FN_CHI_CUAUHTEMOC</t>
  </si>
  <si>
    <t>A04 098 Trinidad y Lindavista</t>
  </si>
  <si>
    <t>FN_CHI_TRINIDAD</t>
  </si>
  <si>
    <t>A06 043 Nuestra señora</t>
  </si>
  <si>
    <t>FN_CHI_NUESTRA_SRA</t>
  </si>
  <si>
    <t>B07 228 Zaragoza</t>
  </si>
  <si>
    <t>B01 220 Alfonso salgado</t>
  </si>
  <si>
    <t>FN_COL_ALFONSO_SAL</t>
  </si>
  <si>
    <t xml:space="preserve">B03 001 Los Cedros </t>
  </si>
  <si>
    <t>FN_COL_LOS_CEDROS</t>
  </si>
  <si>
    <t>B24 280 La Guerita</t>
  </si>
  <si>
    <t>B21 041 Mariana 1</t>
  </si>
  <si>
    <t>B21 042 Mariana 4</t>
  </si>
  <si>
    <t>B03 285 Magaña</t>
  </si>
  <si>
    <t>FN_COL_MAGANA</t>
  </si>
  <si>
    <t xml:space="preserve">B20 053 Cahuite </t>
  </si>
  <si>
    <t>B03 286 El Rio Arif</t>
  </si>
  <si>
    <t>FN_COL_RIO_ARIF</t>
  </si>
  <si>
    <t>B05 185 El Sueño</t>
  </si>
  <si>
    <t>C09 028 San Jose Gonzales</t>
  </si>
  <si>
    <t>FN_TAB_SAN_JOSE_GL</t>
  </si>
  <si>
    <t>B21 039 Cofradía</t>
  </si>
  <si>
    <t>B20 287 El Pilar</t>
  </si>
  <si>
    <t>FN_COL_PILAR</t>
  </si>
  <si>
    <t>B04 288 El Rastro</t>
  </si>
  <si>
    <t>FN_COL_RASTRO</t>
  </si>
  <si>
    <t>B06 287 El Pilar</t>
  </si>
  <si>
    <t>B06 173 Playa UE</t>
  </si>
  <si>
    <t>B03 237 Don Lupe</t>
  </si>
  <si>
    <t>FN_COL_DON_LUPE</t>
  </si>
  <si>
    <t>B24 037 Jorge Ochoa</t>
  </si>
  <si>
    <t>B03 065 La Lima</t>
  </si>
  <si>
    <t>FN_COL_LA_LIMA</t>
  </si>
  <si>
    <t>B21 289 Mendoza</t>
  </si>
  <si>
    <t>FN_COL_MENDOZA</t>
  </si>
  <si>
    <t>B15 210 La Popa</t>
  </si>
  <si>
    <t>C20 044 El Macayo</t>
  </si>
  <si>
    <t>FN_TAB_MACAYO</t>
  </si>
  <si>
    <t>A08 006 San Joaquin</t>
  </si>
  <si>
    <t>FN_CHI_SAN_JOAQUIN</t>
  </si>
  <si>
    <t>B20 210 La Popa</t>
  </si>
  <si>
    <t>B07 196 Paraiso 2</t>
  </si>
  <si>
    <t>C16 030 Chela Bananas</t>
  </si>
  <si>
    <t>FN_TAB_CHELA</t>
  </si>
  <si>
    <t>C14 025 Sabe Bananas</t>
  </si>
  <si>
    <t>FN_TAB_SABEBANANA</t>
  </si>
  <si>
    <t>C20 003 San Lorenzo</t>
  </si>
  <si>
    <t>FN_TAB_LORENZOTAB</t>
  </si>
  <si>
    <t>C04 017 Jaguar</t>
  </si>
  <si>
    <t>FN_TAB_JAGUAR</t>
  </si>
  <si>
    <t>C07 045 Santa Rosa FC</t>
  </si>
  <si>
    <t>FN_TAB_STAROSA</t>
  </si>
  <si>
    <t>A26 099 Empaque 1 Diaz Ordaz</t>
  </si>
  <si>
    <t>FN_CHI_DIAZ_ORDAZ</t>
  </si>
  <si>
    <t>A03 027 El Cahua</t>
  </si>
  <si>
    <t>FN_CHI_ELCAHUA</t>
  </si>
  <si>
    <t>A03 026 Santa Fe</t>
  </si>
  <si>
    <t>FN_CHI_STAFE</t>
  </si>
  <si>
    <t>A41 005 La Gloria</t>
  </si>
  <si>
    <t>B03 051 La Limonera</t>
  </si>
  <si>
    <t>B01 287 El Pilar</t>
  </si>
  <si>
    <t>B20 228 Zaragoza</t>
  </si>
  <si>
    <t xml:space="preserve">B20 248 La Escolar </t>
  </si>
  <si>
    <t>B04 293 El Tesoro</t>
  </si>
  <si>
    <t>FN_COL_TESORO</t>
  </si>
  <si>
    <t>C05 022 El Tirol</t>
  </si>
  <si>
    <t>FN_TAB_TIROL</t>
  </si>
  <si>
    <t>B20 288 El Rastro</t>
  </si>
  <si>
    <t>B20 290 Los Patios</t>
  </si>
  <si>
    <t>FN_COL_PATIOS</t>
  </si>
  <si>
    <t>B03 272 La Coneja</t>
  </si>
  <si>
    <t>B21 291 La Reversa</t>
  </si>
  <si>
    <t>FN_COL_REVERSA</t>
  </si>
  <si>
    <t>B06 292 La Lupita</t>
  </si>
  <si>
    <t>FN_COL_LUPITA</t>
  </si>
  <si>
    <t>B01 239 La Peña</t>
  </si>
  <si>
    <t>FN_COL_PENA</t>
  </si>
  <si>
    <t>A12 057 Tiquisate 1</t>
  </si>
  <si>
    <t>FN_CHI_TIQUIZATE_1</t>
  </si>
  <si>
    <t>A03 028 Romina</t>
  </si>
  <si>
    <t>FN_CHI_ROMINA</t>
  </si>
  <si>
    <t>A09 052 Miguel Aleman 2</t>
  </si>
  <si>
    <t>FN_CHI_MI_ALEM2</t>
  </si>
  <si>
    <t>B01 098 El Chical</t>
  </si>
  <si>
    <t>FN_COL_EL_CHICAL</t>
  </si>
  <si>
    <t>B06 260 El Espinal</t>
  </si>
  <si>
    <t>B21 277 Adan Ursua</t>
  </si>
  <si>
    <t>B01 027 Las Fosas</t>
  </si>
  <si>
    <t>FN_COL_LAS_FOSAS</t>
  </si>
  <si>
    <t>B01 206 Botello</t>
  </si>
  <si>
    <t>B03 216 Palmas</t>
  </si>
  <si>
    <t>B03 081 Nacho Fernandez</t>
  </si>
  <si>
    <t>FN_COL_NACHO_HDZ</t>
  </si>
  <si>
    <t>C18 041 Santos Soberano</t>
  </si>
  <si>
    <t>B03 083 Sapo de Oro MF</t>
  </si>
  <si>
    <t>FN_COL_SAPO_MF</t>
  </si>
  <si>
    <t>SKU</t>
  </si>
  <si>
    <t>Calidad</t>
  </si>
  <si>
    <t>CPL08133</t>
  </si>
  <si>
    <t>Chanitos Plantain 50lb Tarima Americana</t>
  </si>
  <si>
    <t>CPR03117</t>
  </si>
  <si>
    <t>Chanitos Cha Cha Cha 22XU CP26 Mar Kodawari</t>
  </si>
  <si>
    <t>CPR03119</t>
  </si>
  <si>
    <t>Chanitos Cha Cha Cha 22XU  CP34 Mar Kodawari</t>
  </si>
  <si>
    <t>Chanitos Snack</t>
  </si>
  <si>
    <t>CPR01102</t>
  </si>
  <si>
    <t>Chanitos Premium Tarima Chep</t>
  </si>
  <si>
    <t>CPR01101</t>
  </si>
  <si>
    <t>Chanitos Premium Granel</t>
  </si>
  <si>
    <t>CSA04120</t>
  </si>
  <si>
    <t>Chanitos Cha Cha Cha (2da) Granel</t>
  </si>
  <si>
    <t>CMN05123</t>
  </si>
  <si>
    <t>Chanitos Manitas Granel</t>
  </si>
  <si>
    <t>CDS04122</t>
  </si>
  <si>
    <t>Chanitos Cha Cha Cha (DS) Granel</t>
  </si>
  <si>
    <t>CRG07128</t>
  </si>
  <si>
    <t>Chanitos Organic Banded Market Side Mexico</t>
  </si>
  <si>
    <t>CPR01103</t>
  </si>
  <si>
    <t>Chanitos Premium Tarima Americana</t>
  </si>
  <si>
    <t>CPR03123</t>
  </si>
  <si>
    <t>Chanitos Premium Tarima Chep Banda 3b</t>
  </si>
  <si>
    <t>CPL08134</t>
  </si>
  <si>
    <t>Chanitos Plantain 20Kg Tarima Americana</t>
  </si>
  <si>
    <t>CPL08141</t>
  </si>
  <si>
    <t>Chanitos Plantain 20Kg Tarima Chep</t>
  </si>
  <si>
    <t>CPR01109</t>
  </si>
  <si>
    <t>Chanitos Premium 22XU CP26 WR</t>
  </si>
  <si>
    <t>CRG07129</t>
  </si>
  <si>
    <t>Chanitos Organic Banded Market Side EUA</t>
  </si>
  <si>
    <t>CRG07125</t>
  </si>
  <si>
    <t>Chanitos Organic Banded Tape Verde</t>
  </si>
  <si>
    <t>CRG07127</t>
  </si>
  <si>
    <t>Chanitos Organic 3lb Banded Tape Morado</t>
  </si>
  <si>
    <t>CRG07131</t>
  </si>
  <si>
    <t>Chanitos Organic  22XU CP34 Union</t>
  </si>
  <si>
    <t>CRG07130</t>
  </si>
  <si>
    <t>Chanitos Organic  22XU CP28 Union</t>
  </si>
  <si>
    <t>CPR01111</t>
  </si>
  <si>
    <t>CPR01113</t>
  </si>
  <si>
    <t>Chanitos Premium 22XU CL13 Royal</t>
  </si>
  <si>
    <t>CPR01112</t>
  </si>
  <si>
    <t>Chanitos Premium 22XU CL25 Royal</t>
  </si>
  <si>
    <t>CPR01106</t>
  </si>
  <si>
    <t>Chanitos Premium 22XU CP34 Union</t>
  </si>
  <si>
    <t>CPR01108</t>
  </si>
  <si>
    <t>Chanitos Premium 22XU CP26 Union</t>
  </si>
  <si>
    <t>CPR01107</t>
  </si>
  <si>
    <t>Chanitos Premium 22XU CP30 Union</t>
  </si>
  <si>
    <t>CRG07132</t>
  </si>
  <si>
    <t>CDM10138</t>
  </si>
  <si>
    <t>Chanitos Dominico 2da</t>
  </si>
  <si>
    <t xml:space="preserve">Organic  Wild Harvest </t>
  </si>
  <si>
    <t>CCL02114</t>
  </si>
  <si>
    <t>Chanitos Classic Granel</t>
  </si>
  <si>
    <t>Chanitos Premium 22XU CP26 Royal</t>
  </si>
  <si>
    <t>Chanitos Premium 22XU CP28 Royal</t>
  </si>
  <si>
    <t>CDM10137</t>
  </si>
  <si>
    <t>CPR01104</t>
  </si>
  <si>
    <t>Chanitos Premium EUA Tarima Americana</t>
  </si>
  <si>
    <t>Chanitos Dominico 1ra</t>
  </si>
  <si>
    <t>CPR03124</t>
  </si>
  <si>
    <t>Chanitos Cha Cha Cha 22XU CP27 Mar Kodawari</t>
  </si>
  <si>
    <t>CRG07133</t>
  </si>
  <si>
    <t>Chanitos Organic  Wild Harvest PLU94011</t>
  </si>
  <si>
    <t>CPR01115</t>
  </si>
  <si>
    <t>CDS04123</t>
  </si>
  <si>
    <t>CDS04125</t>
  </si>
  <si>
    <t>CPR01114</t>
  </si>
  <si>
    <t>Platano de Chiapas BAE UPC 3237</t>
  </si>
  <si>
    <t>CPR01116</t>
  </si>
  <si>
    <t>CDS06124</t>
  </si>
  <si>
    <t>PROCESO</t>
  </si>
  <si>
    <t>TEMPERATURA MIN (C°)</t>
  </si>
  <si>
    <t>TEMPERATURA MAX (C°)</t>
  </si>
  <si>
    <t>BLOQUES MAX PREENFRIO</t>
  </si>
  <si>
    <t>B20 228 Zaragoza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</si>
</sst>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6"/>
      <name val="Arial Nova Cond Light"/>
      <family val="2"/>
    </font>
    <font>
      <sz val="18"/>
      <color theme="1"/>
      <name val="Arial Nova Cond Light"/>
      <family val="2"/>
    </font>
    <font>
      <sz val="18"/>
      <name val="Arial Nova Cond Light"/>
      <family val="2"/>
    </font>
    <font>
      <b/>
      <sz val="12"/>
      <name val="Arial Nova Cond Light"/>
      <family val="2"/>
    </font>
    <font>
      <sz val="12"/>
      <color theme="1"/>
      <name val="Arial Nova Cond Light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A902-F8BC-4EF1-9C6F-5CDCE4147FBA}">
  <dimension ref="A1:M4"/>
  <sheetViews>
    <sheetView workbookViewId="0">
      <selection activeCell="K2" sqref="K2"/>
    </sheetView>
  </sheetViews>
  <sheetFormatPr baseColWidth="10" defaultRowHeight="15" x14ac:dyDescent="0.25"/>
  <cols>
    <col min="1" max="1" width="20.7109375" customWidth="1"/>
    <col min="3" max="3" width="18.42578125" bestFit="1" customWidth="1"/>
    <col min="4" max="4" width="11.7109375" bestFit="1" customWidth="1"/>
    <col min="5" max="5" width="6" bestFit="1" customWidth="1"/>
    <col min="6" max="6" width="8.140625" bestFit="1" customWidth="1"/>
    <col min="7" max="7" width="10.140625" bestFit="1" customWidth="1"/>
    <col min="8" max="8" width="64.42578125" bestFit="1" customWidth="1"/>
    <col min="9" max="11" width="13" customWidth="1"/>
    <col min="12" max="12" width="13.5703125" customWidth="1"/>
    <col min="13" max="13" width="13" customWidth="1"/>
  </cols>
  <sheetData>
    <row r="1" spans="1:13" x14ac:dyDescent="0.25">
      <c r="D1" s="10" t="s">
        <v>17</v>
      </c>
      <c r="E1" s="10"/>
      <c r="F1" s="10"/>
      <c r="G1" s="10"/>
      <c r="H1" s="10"/>
      <c r="I1" s="11" t="s">
        <v>18</v>
      </c>
      <c r="J1" s="11"/>
      <c r="K1" s="11"/>
      <c r="L1" s="11"/>
      <c r="M1" s="11"/>
    </row>
    <row r="2" spans="1:13" ht="31.5" customHeight="1" x14ac:dyDescent="0.25">
      <c r="A2" s="1" t="s">
        <v>0</v>
      </c>
      <c r="B2" s="1" t="s">
        <v>3</v>
      </c>
      <c r="C2" s="1" t="s">
        <v>7</v>
      </c>
      <c r="D2" s="1" t="s">
        <v>14</v>
      </c>
      <c r="E2" s="1" t="s">
        <v>15</v>
      </c>
      <c r="F2" s="1" t="s">
        <v>8</v>
      </c>
      <c r="G2" s="1" t="s">
        <v>9</v>
      </c>
      <c r="H2" s="1" t="s">
        <v>16</v>
      </c>
      <c r="I2" s="2" t="s">
        <v>19</v>
      </c>
      <c r="J2" s="2" t="s">
        <v>21</v>
      </c>
      <c r="K2" s="2" t="s">
        <v>20</v>
      </c>
      <c r="L2" s="2" t="s">
        <v>652</v>
      </c>
      <c r="M2" s="2" t="s">
        <v>22</v>
      </c>
    </row>
    <row r="3" spans="1:13" x14ac:dyDescent="0.25">
      <c r="A3" t="s">
        <v>1</v>
      </c>
      <c r="B3" t="s">
        <v>4</v>
      </c>
      <c r="C3" t="s">
        <v>5</v>
      </c>
      <c r="D3" t="s">
        <v>10</v>
      </c>
      <c r="E3">
        <v>30665</v>
      </c>
      <c r="F3">
        <v>14.997299999999999</v>
      </c>
      <c r="G3">
        <v>-92.49803</v>
      </c>
      <c r="H3" t="s">
        <v>11</v>
      </c>
      <c r="I3">
        <v>70</v>
      </c>
      <c r="J3">
        <v>3360</v>
      </c>
      <c r="K3">
        <v>12</v>
      </c>
      <c r="L3">
        <v>2</v>
      </c>
      <c r="M3">
        <v>576</v>
      </c>
    </row>
    <row r="4" spans="1:13" x14ac:dyDescent="0.25">
      <c r="A4" t="s">
        <v>2</v>
      </c>
      <c r="B4" t="s">
        <v>4</v>
      </c>
      <c r="C4" t="s">
        <v>6</v>
      </c>
      <c r="D4" t="s">
        <v>12</v>
      </c>
      <c r="E4">
        <v>30650</v>
      </c>
      <c r="F4">
        <v>14.9398</v>
      </c>
      <c r="G4">
        <v>-92.514799999999994</v>
      </c>
      <c r="H4" t="s">
        <v>13</v>
      </c>
      <c r="I4">
        <v>100</v>
      </c>
      <c r="J4">
        <v>4800</v>
      </c>
      <c r="K4">
        <v>10</v>
      </c>
      <c r="L4">
        <v>2</v>
      </c>
      <c r="M4">
        <v>480</v>
      </c>
    </row>
  </sheetData>
  <mergeCells count="2">
    <mergeCell ref="D1:H1"/>
    <mergeCell ref="I1:M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A0F3-0727-46BE-AF1B-1333F80826B4}">
  <dimension ref="A1:C42"/>
  <sheetViews>
    <sheetView tabSelected="1" workbookViewId="0">
      <selection activeCell="B1" sqref="B1"/>
    </sheetView>
  </sheetViews>
  <sheetFormatPr baseColWidth="10" defaultRowHeight="15" x14ac:dyDescent="0.25"/>
  <cols>
    <col min="1" max="1" width="29.5703125" customWidth="1"/>
    <col min="2" max="2" width="38.42578125" bestFit="1" customWidth="1"/>
    <col min="3" max="3" width="27.42578125" customWidth="1"/>
  </cols>
  <sheetData>
    <row r="1" spans="1:3" ht="15.75" x14ac:dyDescent="0.25">
      <c r="A1" s="4" t="s">
        <v>56</v>
      </c>
      <c r="B1" s="4" t="s">
        <v>23</v>
      </c>
      <c r="C1" s="4" t="s">
        <v>55</v>
      </c>
    </row>
    <row r="2" spans="1:3" ht="15.75" x14ac:dyDescent="0.25">
      <c r="A2" s="5" t="s">
        <v>32</v>
      </c>
      <c r="B2" s="5" t="s">
        <v>42</v>
      </c>
      <c r="C2" s="5" t="s">
        <v>57</v>
      </c>
    </row>
    <row r="3" spans="1:3" ht="15.75" x14ac:dyDescent="0.25">
      <c r="A3" s="5" t="s">
        <v>29</v>
      </c>
      <c r="B3" s="5" t="s">
        <v>41</v>
      </c>
      <c r="C3" s="5" t="s">
        <v>58</v>
      </c>
    </row>
    <row r="4" spans="1:3" ht="15.75" x14ac:dyDescent="0.25">
      <c r="A4" s="5" t="s">
        <v>29</v>
      </c>
      <c r="B4" s="5" t="s">
        <v>44</v>
      </c>
      <c r="C4" s="5" t="s">
        <v>59</v>
      </c>
    </row>
    <row r="5" spans="1:3" ht="15.75" x14ac:dyDescent="0.25">
      <c r="A5" s="5" t="s">
        <v>39</v>
      </c>
      <c r="B5" s="5" t="s">
        <v>40</v>
      </c>
      <c r="C5" s="5" t="s">
        <v>60</v>
      </c>
    </row>
    <row r="6" spans="1:3" ht="15.75" x14ac:dyDescent="0.25">
      <c r="A6" s="5" t="s">
        <v>34</v>
      </c>
      <c r="B6" s="5" t="s">
        <v>43</v>
      </c>
      <c r="C6" s="5" t="s">
        <v>61</v>
      </c>
    </row>
    <row r="7" spans="1:3" ht="15.75" x14ac:dyDescent="0.25">
      <c r="A7" s="5" t="s">
        <v>38</v>
      </c>
      <c r="B7" s="5" t="s">
        <v>45</v>
      </c>
      <c r="C7" s="5" t="s">
        <v>62</v>
      </c>
    </row>
    <row r="8" spans="1:3" ht="15.75" x14ac:dyDescent="0.25">
      <c r="A8" s="5" t="s">
        <v>33</v>
      </c>
      <c r="B8" s="5" t="s">
        <v>33</v>
      </c>
      <c r="C8" s="5" t="s">
        <v>33</v>
      </c>
    </row>
    <row r="9" spans="1:3" ht="15.75" x14ac:dyDescent="0.25">
      <c r="A9" s="5" t="s">
        <v>25</v>
      </c>
      <c r="B9" s="5" t="s">
        <v>52</v>
      </c>
      <c r="C9" s="5" t="s">
        <v>63</v>
      </c>
    </row>
    <row r="10" spans="1:3" ht="15.75" x14ac:dyDescent="0.25">
      <c r="A10" s="5" t="s">
        <v>25</v>
      </c>
      <c r="B10" s="5" t="s">
        <v>53</v>
      </c>
      <c r="C10" s="5" t="s">
        <v>64</v>
      </c>
    </row>
    <row r="11" spans="1:3" ht="15.75" x14ac:dyDescent="0.25">
      <c r="A11" s="5" t="s">
        <v>25</v>
      </c>
      <c r="B11" s="5" t="s">
        <v>54</v>
      </c>
      <c r="C11" s="5" t="s">
        <v>65</v>
      </c>
    </row>
    <row r="12" spans="1:3" ht="15.75" x14ac:dyDescent="0.25">
      <c r="A12" s="5" t="s">
        <v>31</v>
      </c>
      <c r="B12" s="5" t="s">
        <v>28</v>
      </c>
      <c r="C12" s="5" t="s">
        <v>66</v>
      </c>
    </row>
    <row r="13" spans="1:3" ht="15.75" x14ac:dyDescent="0.25">
      <c r="A13" s="5" t="s">
        <v>31</v>
      </c>
      <c r="B13" s="5" t="s">
        <v>46</v>
      </c>
      <c r="C13" s="5" t="s">
        <v>67</v>
      </c>
    </row>
    <row r="14" spans="1:3" ht="15.75" x14ac:dyDescent="0.25">
      <c r="A14" s="5" t="s">
        <v>31</v>
      </c>
      <c r="B14" s="5" t="s">
        <v>47</v>
      </c>
      <c r="C14" s="5" t="s">
        <v>68</v>
      </c>
    </row>
    <row r="15" spans="1:3" ht="15.75" x14ac:dyDescent="0.25">
      <c r="A15" s="5" t="s">
        <v>31</v>
      </c>
      <c r="B15" s="5" t="s">
        <v>48</v>
      </c>
      <c r="C15" s="5" t="s">
        <v>69</v>
      </c>
    </row>
    <row r="16" spans="1:3" ht="15.75" x14ac:dyDescent="0.25">
      <c r="A16" s="5" t="s">
        <v>31</v>
      </c>
      <c r="B16" s="5" t="s">
        <v>49</v>
      </c>
      <c r="C16" s="5" t="s">
        <v>70</v>
      </c>
    </row>
    <row r="17" spans="1:3" ht="15.75" x14ac:dyDescent="0.25">
      <c r="A17" s="5" t="s">
        <v>31</v>
      </c>
      <c r="B17" s="5" t="s">
        <v>50</v>
      </c>
      <c r="C17" s="5" t="s">
        <v>71</v>
      </c>
    </row>
    <row r="18" spans="1:3" ht="15.75" x14ac:dyDescent="0.25">
      <c r="A18" s="5" t="s">
        <v>31</v>
      </c>
      <c r="B18" s="5" t="s">
        <v>51</v>
      </c>
      <c r="C18" s="5" t="s">
        <v>72</v>
      </c>
    </row>
    <row r="19" spans="1:3" ht="15.75" x14ac:dyDescent="0.25">
      <c r="A19" s="5" t="s">
        <v>36</v>
      </c>
      <c r="B19" s="5" t="s">
        <v>36</v>
      </c>
      <c r="C19" s="5" t="s">
        <v>36</v>
      </c>
    </row>
    <row r="20" spans="1:3" ht="15.75" x14ac:dyDescent="0.25">
      <c r="A20" s="5" t="s">
        <v>30</v>
      </c>
      <c r="B20" s="5" t="s">
        <v>40</v>
      </c>
      <c r="C20" s="5" t="s">
        <v>73</v>
      </c>
    </row>
    <row r="21" spans="1:3" ht="15.75" x14ac:dyDescent="0.25">
      <c r="A21" s="5" t="s">
        <v>30</v>
      </c>
      <c r="B21" s="5" t="s">
        <v>48</v>
      </c>
      <c r="C21" s="5" t="s">
        <v>74</v>
      </c>
    </row>
    <row r="22" spans="1:3" ht="15.75" x14ac:dyDescent="0.25">
      <c r="A22" s="5" t="s">
        <v>37</v>
      </c>
      <c r="B22" s="5" t="s">
        <v>37</v>
      </c>
      <c r="C22" s="5" t="s">
        <v>37</v>
      </c>
    </row>
    <row r="23" spans="1:3" ht="15.75" x14ac:dyDescent="0.25">
      <c r="A23" s="5" t="s">
        <v>52</v>
      </c>
      <c r="B23" s="5" t="s">
        <v>52</v>
      </c>
      <c r="C23" s="5" t="s">
        <v>52</v>
      </c>
    </row>
    <row r="24" spans="1:3" ht="15.75" x14ac:dyDescent="0.25">
      <c r="A24" s="5" t="s">
        <v>35</v>
      </c>
      <c r="B24" s="5" t="s">
        <v>43</v>
      </c>
      <c r="C24" s="5" t="s">
        <v>75</v>
      </c>
    </row>
    <row r="25" spans="1:3" ht="15.75" x14ac:dyDescent="0.25">
      <c r="A25" s="5" t="s">
        <v>24</v>
      </c>
      <c r="B25" s="5" t="str">
        <f t="shared" ref="B25:B31" si="0">+A12&amp;"-"&amp;B12</f>
        <v>NUEVA WALMART-CHALCO</v>
      </c>
      <c r="C25" s="5" t="s">
        <v>76</v>
      </c>
    </row>
    <row r="26" spans="1:3" ht="15.75" x14ac:dyDescent="0.25">
      <c r="A26" s="5" t="s">
        <v>24</v>
      </c>
      <c r="B26" s="5" t="str">
        <f t="shared" si="0"/>
        <v>NUEVA WALMART-CULIACAN</v>
      </c>
      <c r="C26" s="5" t="s">
        <v>77</v>
      </c>
    </row>
    <row r="27" spans="1:3" ht="15.75" x14ac:dyDescent="0.25">
      <c r="A27" s="5" t="s">
        <v>24</v>
      </c>
      <c r="B27" s="5" t="str">
        <f t="shared" si="0"/>
        <v>NUEVA WALMART-GUADALAJARA</v>
      </c>
      <c r="C27" s="5" t="s">
        <v>78</v>
      </c>
    </row>
    <row r="28" spans="1:3" ht="15.75" x14ac:dyDescent="0.25">
      <c r="A28" s="5" t="s">
        <v>24</v>
      </c>
      <c r="B28" s="5" t="str">
        <f t="shared" si="0"/>
        <v>NUEVA WALMART-MONTERREY</v>
      </c>
      <c r="C28" s="5" t="s">
        <v>79</v>
      </c>
    </row>
    <row r="29" spans="1:3" ht="15.75" x14ac:dyDescent="0.25">
      <c r="A29" s="5" t="s">
        <v>24</v>
      </c>
      <c r="B29" s="5" t="str">
        <f t="shared" si="0"/>
        <v>NUEVA WALMART-QUERETARO</v>
      </c>
      <c r="C29" s="5" t="s">
        <v>80</v>
      </c>
    </row>
    <row r="30" spans="1:3" ht="15.75" x14ac:dyDescent="0.25">
      <c r="A30" s="5" t="s">
        <v>24</v>
      </c>
      <c r="B30" s="5" t="str">
        <f t="shared" si="0"/>
        <v>NUEVA WALMART-SAN MARTIN DE OBISPO</v>
      </c>
      <c r="C30" s="5" t="s">
        <v>81</v>
      </c>
    </row>
    <row r="31" spans="1:3" ht="15.75" x14ac:dyDescent="0.25">
      <c r="A31" s="5" t="s">
        <v>24</v>
      </c>
      <c r="B31" s="5" t="str">
        <f t="shared" si="0"/>
        <v>NUEVA WALMART-VILLAHERMOSA</v>
      </c>
      <c r="C31" s="5" t="s">
        <v>82</v>
      </c>
    </row>
    <row r="32" spans="1:3" ht="15.75" x14ac:dyDescent="0.25">
      <c r="A32" s="5" t="s">
        <v>24</v>
      </c>
      <c r="B32" s="5" t="str">
        <f>+A20&amp;"-"&amp;B20</f>
        <v>S-MART-CIUDAD JUAREZ</v>
      </c>
      <c r="C32" s="5" t="s">
        <v>83</v>
      </c>
    </row>
    <row r="33" spans="1:3" ht="15.75" x14ac:dyDescent="0.25">
      <c r="A33" s="5" t="s">
        <v>24</v>
      </c>
      <c r="B33" s="5" t="str">
        <f>+A21&amp;"-"&amp;B21</f>
        <v>S-MART-MONTERREY</v>
      </c>
      <c r="C33" s="5" t="s">
        <v>84</v>
      </c>
    </row>
    <row r="34" spans="1:3" ht="15.75" x14ac:dyDescent="0.25">
      <c r="A34" s="5" t="s">
        <v>24</v>
      </c>
      <c r="B34" s="5" t="str">
        <f>+A22</f>
        <v>SORIANA</v>
      </c>
      <c r="C34" s="5" t="s">
        <v>85</v>
      </c>
    </row>
    <row r="35" spans="1:3" ht="15.75" x14ac:dyDescent="0.25">
      <c r="A35" s="5" t="s">
        <v>24</v>
      </c>
      <c r="B35" s="5" t="str">
        <f>+B24</f>
        <v>MC ALLEN</v>
      </c>
      <c r="C35" s="5" t="s">
        <v>86</v>
      </c>
    </row>
    <row r="36" spans="1:3" ht="15.75" x14ac:dyDescent="0.25">
      <c r="A36" s="5" t="s">
        <v>24</v>
      </c>
      <c r="B36" s="5" t="str">
        <f>+A7&amp;"-"&amp;B7</f>
        <v>CHEDRAUI-ZUMPANGO</v>
      </c>
      <c r="C36" s="5" t="s">
        <v>87</v>
      </c>
    </row>
    <row r="37" spans="1:3" ht="15.75" x14ac:dyDescent="0.25">
      <c r="A37" s="5" t="s">
        <v>27</v>
      </c>
      <c r="B37" s="5" t="str">
        <f>+B9</f>
        <v>TAPACHULA</v>
      </c>
      <c r="C37" s="5" t="s">
        <v>88</v>
      </c>
    </row>
    <row r="38" spans="1:3" ht="15.75" x14ac:dyDescent="0.25">
      <c r="A38" s="5" t="s">
        <v>27</v>
      </c>
      <c r="B38" s="5" t="str">
        <f>+B10</f>
        <v>COLIMA</v>
      </c>
      <c r="C38" s="5" t="s">
        <v>89</v>
      </c>
    </row>
    <row r="39" spans="1:3" ht="15.75" x14ac:dyDescent="0.25">
      <c r="A39" s="5" t="s">
        <v>27</v>
      </c>
      <c r="B39" s="5" t="str">
        <f>+B11</f>
        <v>TABASCO</v>
      </c>
      <c r="C39" s="5" t="s">
        <v>90</v>
      </c>
    </row>
    <row r="40" spans="1:3" ht="15.75" x14ac:dyDescent="0.25">
      <c r="A40" s="5" t="s">
        <v>26</v>
      </c>
      <c r="B40" s="5" t="str">
        <f>+B9</f>
        <v>TAPACHULA</v>
      </c>
      <c r="C40" s="5" t="s">
        <v>91</v>
      </c>
    </row>
    <row r="41" spans="1:3" ht="15.75" x14ac:dyDescent="0.25">
      <c r="A41" s="5" t="s">
        <v>26</v>
      </c>
      <c r="B41" s="5" t="str">
        <f t="shared" ref="B41:B42" si="1">+B10</f>
        <v>COLIMA</v>
      </c>
      <c r="C41" s="5" t="s">
        <v>92</v>
      </c>
    </row>
    <row r="42" spans="1:3" ht="15.75" x14ac:dyDescent="0.25">
      <c r="A42" s="5" t="s">
        <v>26</v>
      </c>
      <c r="B42" s="5" t="str">
        <f t="shared" si="1"/>
        <v>TABASCO</v>
      </c>
      <c r="C42" s="5" t="s">
        <v>93</v>
      </c>
    </row>
  </sheetData>
  <autoFilter ref="A1:C42" xr:uid="{7041A0F3-0727-46BE-AF1B-1333F80826B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8DF62-4A6C-4EDA-A303-268CF1B2092F}">
  <dimension ref="A1:C14"/>
  <sheetViews>
    <sheetView workbookViewId="0">
      <selection activeCell="C1" sqref="C1"/>
    </sheetView>
  </sheetViews>
  <sheetFormatPr baseColWidth="10" defaultRowHeight="15" x14ac:dyDescent="0.25"/>
  <cols>
    <col min="1" max="2" width="18.28515625" customWidth="1"/>
    <col min="3" max="3" width="17.85546875" customWidth="1"/>
  </cols>
  <sheetData>
    <row r="1" spans="1:3" ht="31.5" x14ac:dyDescent="0.25">
      <c r="A1" s="4" t="s">
        <v>650</v>
      </c>
      <c r="B1" s="4" t="s">
        <v>651</v>
      </c>
      <c r="C1" s="4" t="s">
        <v>649</v>
      </c>
    </row>
    <row r="2" spans="1:3" ht="15.75" x14ac:dyDescent="0.25">
      <c r="A2">
        <v>14</v>
      </c>
      <c r="B2">
        <v>16</v>
      </c>
      <c r="C2" s="5" t="s">
        <v>62</v>
      </c>
    </row>
    <row r="3" spans="1:3" ht="15.75" x14ac:dyDescent="0.25">
      <c r="A3">
        <v>15</v>
      </c>
      <c r="B3">
        <v>17</v>
      </c>
      <c r="C3" s="5" t="s">
        <v>61</v>
      </c>
    </row>
    <row r="4" spans="1:3" ht="15.75" x14ac:dyDescent="0.25">
      <c r="A4">
        <v>15</v>
      </c>
      <c r="B4">
        <v>17</v>
      </c>
      <c r="C4" s="5" t="s">
        <v>75</v>
      </c>
    </row>
    <row r="5" spans="1:3" ht="15.75" x14ac:dyDescent="0.25">
      <c r="A5">
        <v>14</v>
      </c>
      <c r="B5">
        <v>17</v>
      </c>
      <c r="C5" s="5" t="s">
        <v>73</v>
      </c>
    </row>
    <row r="6" spans="1:3" ht="15.75" x14ac:dyDescent="0.25">
      <c r="A6">
        <v>14</v>
      </c>
      <c r="B6">
        <v>17</v>
      </c>
      <c r="C6" s="5" t="s">
        <v>74</v>
      </c>
    </row>
    <row r="7" spans="1:3" ht="15.75" x14ac:dyDescent="0.25">
      <c r="A7">
        <v>14</v>
      </c>
      <c r="B7">
        <v>17</v>
      </c>
      <c r="C7" s="5" t="s">
        <v>37</v>
      </c>
    </row>
    <row r="8" spans="1:3" ht="15.75" x14ac:dyDescent="0.25">
      <c r="A8">
        <v>15</v>
      </c>
      <c r="B8">
        <v>17</v>
      </c>
      <c r="C8" s="5" t="s">
        <v>66</v>
      </c>
    </row>
    <row r="9" spans="1:3" ht="15.75" x14ac:dyDescent="0.25">
      <c r="A9">
        <v>15</v>
      </c>
      <c r="B9">
        <v>17</v>
      </c>
      <c r="C9" s="5" t="s">
        <v>67</v>
      </c>
    </row>
    <row r="10" spans="1:3" ht="15.75" x14ac:dyDescent="0.25">
      <c r="A10">
        <v>15</v>
      </c>
      <c r="B10">
        <v>17</v>
      </c>
      <c r="C10" s="5" t="s">
        <v>68</v>
      </c>
    </row>
    <row r="11" spans="1:3" ht="15.75" x14ac:dyDescent="0.25">
      <c r="A11">
        <v>15</v>
      </c>
      <c r="B11">
        <v>17</v>
      </c>
      <c r="C11" s="5" t="s">
        <v>69</v>
      </c>
    </row>
    <row r="12" spans="1:3" ht="15.75" x14ac:dyDescent="0.25">
      <c r="A12">
        <v>15</v>
      </c>
      <c r="B12">
        <v>17</v>
      </c>
      <c r="C12" s="5" t="s">
        <v>70</v>
      </c>
    </row>
    <row r="13" spans="1:3" ht="15.75" x14ac:dyDescent="0.25">
      <c r="A13">
        <v>15</v>
      </c>
      <c r="B13">
        <v>17</v>
      </c>
      <c r="C13" s="5" t="s">
        <v>71</v>
      </c>
    </row>
    <row r="14" spans="1:3" ht="15.75" x14ac:dyDescent="0.25">
      <c r="A14">
        <v>15</v>
      </c>
      <c r="B14">
        <v>17</v>
      </c>
      <c r="C14" s="5" t="s">
        <v>72</v>
      </c>
    </row>
  </sheetData>
  <autoFilter ref="A1:C1" xr:uid="{3E98DF62-4A6C-4EDA-A303-268CF1B2092F}">
    <sortState xmlns:xlrd2="http://schemas.microsoft.com/office/spreadsheetml/2017/richdata2" ref="A2:C15">
      <sortCondition ref="C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E6D9E-686A-4183-92BF-9B0AF16F6985}">
  <dimension ref="A1:B284"/>
  <sheetViews>
    <sheetView workbookViewId="0">
      <selection activeCell="A2" sqref="A2"/>
    </sheetView>
  </sheetViews>
  <sheetFormatPr baseColWidth="10" defaultRowHeight="15" x14ac:dyDescent="0.25"/>
  <cols>
    <col min="1" max="1" width="57.7109375" bestFit="1" customWidth="1"/>
    <col min="2" max="2" width="34.42578125" bestFit="1" customWidth="1"/>
  </cols>
  <sheetData>
    <row r="1" spans="1:2" ht="40.5" x14ac:dyDescent="0.25">
      <c r="A1" s="3" t="s">
        <v>94</v>
      </c>
      <c r="B1" s="3" t="s">
        <v>95</v>
      </c>
    </row>
    <row r="2" spans="1:2" ht="22.5" x14ac:dyDescent="0.3">
      <c r="A2" s="6" t="s">
        <v>131</v>
      </c>
      <c r="B2" s="6" t="s">
        <v>132</v>
      </c>
    </row>
    <row r="3" spans="1:2" ht="22.5" x14ac:dyDescent="0.3">
      <c r="A3" s="6" t="s">
        <v>115</v>
      </c>
      <c r="B3" s="6" t="s">
        <v>116</v>
      </c>
    </row>
    <row r="4" spans="1:2" ht="22.5" x14ac:dyDescent="0.3">
      <c r="A4" s="6" t="s">
        <v>106</v>
      </c>
      <c r="B4" s="6" t="s">
        <v>107</v>
      </c>
    </row>
    <row r="5" spans="1:2" ht="22.5" x14ac:dyDescent="0.3">
      <c r="A5" s="6" t="s">
        <v>123</v>
      </c>
      <c r="B5" s="6" t="s">
        <v>124</v>
      </c>
    </row>
    <row r="6" spans="1:2" ht="22.5" x14ac:dyDescent="0.3">
      <c r="A6" s="6" t="s">
        <v>534</v>
      </c>
      <c r="B6" s="6" t="s">
        <v>535</v>
      </c>
    </row>
    <row r="7" spans="1:2" ht="22.5" x14ac:dyDescent="0.3">
      <c r="A7" s="6" t="s">
        <v>532</v>
      </c>
      <c r="B7" s="6" t="s">
        <v>533</v>
      </c>
    </row>
    <row r="8" spans="1:2" ht="22.5" x14ac:dyDescent="0.3">
      <c r="A8" s="6" t="s">
        <v>557</v>
      </c>
      <c r="B8" s="6" t="s">
        <v>558</v>
      </c>
    </row>
    <row r="9" spans="1:2" ht="22.5" x14ac:dyDescent="0.3">
      <c r="A9" s="6" t="s">
        <v>117</v>
      </c>
      <c r="B9" s="6" t="s">
        <v>118</v>
      </c>
    </row>
    <row r="10" spans="1:2" ht="22.5" x14ac:dyDescent="0.3">
      <c r="A10" s="6" t="s">
        <v>98</v>
      </c>
      <c r="B10" s="6" t="s">
        <v>99</v>
      </c>
    </row>
    <row r="11" spans="1:2" ht="22.5" x14ac:dyDescent="0.3">
      <c r="A11" s="6" t="s">
        <v>146</v>
      </c>
      <c r="B11" s="6" t="s">
        <v>147</v>
      </c>
    </row>
    <row r="12" spans="1:2" ht="22.5" x14ac:dyDescent="0.3">
      <c r="A12" s="6" t="s">
        <v>144</v>
      </c>
      <c r="B12" s="6" t="s">
        <v>145</v>
      </c>
    </row>
    <row r="13" spans="1:2" ht="22.5" x14ac:dyDescent="0.3">
      <c r="A13" s="6" t="s">
        <v>127</v>
      </c>
      <c r="B13" s="6" t="s">
        <v>128</v>
      </c>
    </row>
    <row r="14" spans="1:2" ht="22.5" x14ac:dyDescent="0.3">
      <c r="A14" s="6" t="s">
        <v>479</v>
      </c>
      <c r="B14" s="6" t="s">
        <v>480</v>
      </c>
    </row>
    <row r="15" spans="1:2" ht="22.5" x14ac:dyDescent="0.3">
      <c r="A15" s="6" t="s">
        <v>137</v>
      </c>
      <c r="B15" s="6" t="s">
        <v>138</v>
      </c>
    </row>
    <row r="16" spans="1:2" ht="22.5" x14ac:dyDescent="0.3">
      <c r="A16" s="6" t="s">
        <v>139</v>
      </c>
      <c r="B16" s="6" t="s">
        <v>140</v>
      </c>
    </row>
    <row r="17" spans="1:2" ht="22.5" x14ac:dyDescent="0.3">
      <c r="A17" s="6" t="s">
        <v>141</v>
      </c>
      <c r="B17" s="6" t="s">
        <v>140</v>
      </c>
    </row>
    <row r="18" spans="1:2" ht="22.5" x14ac:dyDescent="0.3">
      <c r="A18" s="6" t="s">
        <v>110</v>
      </c>
      <c r="B18" s="6" t="s">
        <v>111</v>
      </c>
    </row>
    <row r="19" spans="1:2" ht="22.5" x14ac:dyDescent="0.3">
      <c r="A19" s="6" t="s">
        <v>475</v>
      </c>
      <c r="B19" s="6" t="s">
        <v>476</v>
      </c>
    </row>
    <row r="20" spans="1:2" ht="22.5" x14ac:dyDescent="0.3">
      <c r="A20" s="6" t="s">
        <v>481</v>
      </c>
      <c r="B20" s="6" t="s">
        <v>482</v>
      </c>
    </row>
    <row r="21" spans="1:2" ht="22.5" x14ac:dyDescent="0.3">
      <c r="A21" s="6" t="s">
        <v>516</v>
      </c>
      <c r="B21" s="6" t="s">
        <v>517</v>
      </c>
    </row>
    <row r="22" spans="1:2" ht="22.5" x14ac:dyDescent="0.3">
      <c r="A22" s="6" t="s">
        <v>559</v>
      </c>
      <c r="B22" s="6" t="s">
        <v>560</v>
      </c>
    </row>
    <row r="23" spans="1:2" ht="22.5" x14ac:dyDescent="0.3">
      <c r="A23" s="6" t="s">
        <v>133</v>
      </c>
      <c r="B23" s="6" t="s">
        <v>134</v>
      </c>
    </row>
    <row r="24" spans="1:2" ht="22.5" x14ac:dyDescent="0.3">
      <c r="A24" s="6" t="s">
        <v>142</v>
      </c>
      <c r="B24" s="6" t="s">
        <v>143</v>
      </c>
    </row>
    <row r="25" spans="1:2" ht="22.5" x14ac:dyDescent="0.3">
      <c r="A25" s="6" t="s">
        <v>96</v>
      </c>
      <c r="B25" s="6" t="s">
        <v>97</v>
      </c>
    </row>
    <row r="26" spans="1:2" ht="22.5" x14ac:dyDescent="0.3">
      <c r="A26" s="6" t="s">
        <v>100</v>
      </c>
      <c r="B26" s="6" t="s">
        <v>101</v>
      </c>
    </row>
    <row r="27" spans="1:2" ht="22.5" x14ac:dyDescent="0.3">
      <c r="A27" s="6" t="s">
        <v>555</v>
      </c>
      <c r="B27" s="6" t="s">
        <v>556</v>
      </c>
    </row>
    <row r="28" spans="1:2" ht="22.5" x14ac:dyDescent="0.3">
      <c r="A28" s="6" t="s">
        <v>418</v>
      </c>
      <c r="B28" s="6" t="s">
        <v>417</v>
      </c>
    </row>
    <row r="29" spans="1:2" ht="22.5" x14ac:dyDescent="0.3">
      <c r="A29" s="6" t="s">
        <v>104</v>
      </c>
      <c r="B29" s="6" t="s">
        <v>105</v>
      </c>
    </row>
    <row r="30" spans="1:2" ht="22.5" x14ac:dyDescent="0.3">
      <c r="A30" s="6" t="s">
        <v>148</v>
      </c>
      <c r="B30" s="6" t="s">
        <v>149</v>
      </c>
    </row>
    <row r="31" spans="1:2" ht="22.5" x14ac:dyDescent="0.3">
      <c r="A31" s="6" t="s">
        <v>102</v>
      </c>
      <c r="B31" s="6" t="s">
        <v>103</v>
      </c>
    </row>
    <row r="32" spans="1:2" ht="22.5" x14ac:dyDescent="0.3">
      <c r="A32" s="6" t="s">
        <v>108</v>
      </c>
      <c r="B32" s="6" t="s">
        <v>109</v>
      </c>
    </row>
    <row r="33" spans="1:2" ht="22.5" x14ac:dyDescent="0.3">
      <c r="A33" s="6" t="s">
        <v>530</v>
      </c>
      <c r="B33" s="6" t="s">
        <v>531</v>
      </c>
    </row>
    <row r="34" spans="1:2" ht="22.5" x14ac:dyDescent="0.3">
      <c r="A34" s="6" t="s">
        <v>135</v>
      </c>
      <c r="B34" s="6" t="s">
        <v>136</v>
      </c>
    </row>
    <row r="35" spans="1:2" ht="22.5" x14ac:dyDescent="0.3">
      <c r="A35" s="6" t="s">
        <v>129</v>
      </c>
      <c r="B35" s="6" t="s">
        <v>130</v>
      </c>
    </row>
    <row r="36" spans="1:2" ht="22.5" x14ac:dyDescent="0.3">
      <c r="A36" s="6" t="s">
        <v>121</v>
      </c>
      <c r="B36" s="6" t="s">
        <v>122</v>
      </c>
    </row>
    <row r="37" spans="1:2" ht="22.5" x14ac:dyDescent="0.3">
      <c r="A37" s="6" t="s">
        <v>119</v>
      </c>
      <c r="B37" s="6" t="s">
        <v>120</v>
      </c>
    </row>
    <row r="38" spans="1:2" ht="22.5" x14ac:dyDescent="0.3">
      <c r="A38" s="6" t="s">
        <v>125</v>
      </c>
      <c r="B38" s="6" t="s">
        <v>126</v>
      </c>
    </row>
    <row r="39" spans="1:2" ht="22.5" x14ac:dyDescent="0.3">
      <c r="A39" s="6" t="s">
        <v>114</v>
      </c>
      <c r="B39" s="6" t="s">
        <v>113</v>
      </c>
    </row>
    <row r="40" spans="1:2" ht="22.5" x14ac:dyDescent="0.3">
      <c r="A40" s="6" t="s">
        <v>112</v>
      </c>
      <c r="B40" s="6" t="s">
        <v>113</v>
      </c>
    </row>
    <row r="41" spans="1:2" ht="22.5" x14ac:dyDescent="0.3">
      <c r="A41" s="6" t="s">
        <v>477</v>
      </c>
      <c r="B41" s="6" t="s">
        <v>478</v>
      </c>
    </row>
    <row r="42" spans="1:2" ht="22.5" x14ac:dyDescent="0.3">
      <c r="A42" s="6" t="s">
        <v>536</v>
      </c>
      <c r="B42" s="6" t="s">
        <v>118</v>
      </c>
    </row>
    <row r="43" spans="1:2" ht="22.5" x14ac:dyDescent="0.3">
      <c r="A43" s="6" t="s">
        <v>392</v>
      </c>
      <c r="B43" s="6" t="s">
        <v>393</v>
      </c>
    </row>
    <row r="44" spans="1:2" ht="22.5" x14ac:dyDescent="0.3">
      <c r="A44" s="6" t="s">
        <v>198</v>
      </c>
      <c r="B44" s="6" t="s">
        <v>199</v>
      </c>
    </row>
    <row r="45" spans="1:2" ht="22.5" x14ac:dyDescent="0.3">
      <c r="A45" s="6" t="s">
        <v>163</v>
      </c>
      <c r="B45" s="6" t="s">
        <v>164</v>
      </c>
    </row>
    <row r="46" spans="1:2" ht="22.5" x14ac:dyDescent="0.3">
      <c r="A46" s="6" t="s">
        <v>261</v>
      </c>
      <c r="B46" s="6" t="s">
        <v>262</v>
      </c>
    </row>
    <row r="47" spans="1:2" ht="22.5" x14ac:dyDescent="0.3">
      <c r="A47" s="6" t="s">
        <v>153</v>
      </c>
      <c r="B47" s="6" t="s">
        <v>154</v>
      </c>
    </row>
    <row r="48" spans="1:2" ht="22.5" x14ac:dyDescent="0.3">
      <c r="A48" s="6" t="s">
        <v>430</v>
      </c>
      <c r="B48" s="6" t="s">
        <v>431</v>
      </c>
    </row>
    <row r="49" spans="1:2" ht="22.5" x14ac:dyDescent="0.3">
      <c r="A49" s="6" t="s">
        <v>170</v>
      </c>
      <c r="B49" s="6" t="s">
        <v>171</v>
      </c>
    </row>
    <row r="50" spans="1:2" ht="22.5" x14ac:dyDescent="0.3">
      <c r="A50" s="6" t="s">
        <v>368</v>
      </c>
      <c r="B50" s="6" t="s">
        <v>369</v>
      </c>
    </row>
    <row r="51" spans="1:2" ht="22.5" x14ac:dyDescent="0.3">
      <c r="A51" s="6" t="s">
        <v>565</v>
      </c>
      <c r="B51" s="6" t="s">
        <v>566</v>
      </c>
    </row>
    <row r="52" spans="1:2" ht="22.5" x14ac:dyDescent="0.3">
      <c r="A52" s="6" t="s">
        <v>308</v>
      </c>
      <c r="B52" s="6" t="s">
        <v>309</v>
      </c>
    </row>
    <row r="53" spans="1:2" ht="22.5" x14ac:dyDescent="0.3">
      <c r="A53" s="6" t="s">
        <v>400</v>
      </c>
      <c r="B53" s="6" t="s">
        <v>401</v>
      </c>
    </row>
    <row r="54" spans="1:2" ht="22.5" x14ac:dyDescent="0.3">
      <c r="A54" s="6" t="s">
        <v>226</v>
      </c>
      <c r="B54" s="6" t="s">
        <v>224</v>
      </c>
    </row>
    <row r="55" spans="1:2" ht="22.5" x14ac:dyDescent="0.3">
      <c r="A55" s="6" t="s">
        <v>225</v>
      </c>
      <c r="B55" s="6" t="s">
        <v>224</v>
      </c>
    </row>
    <row r="56" spans="1:2" ht="22.5" x14ac:dyDescent="0.3">
      <c r="A56" s="6" t="s">
        <v>328</v>
      </c>
      <c r="B56" s="6" t="s">
        <v>329</v>
      </c>
    </row>
    <row r="57" spans="1:2" ht="22.5" x14ac:dyDescent="0.3">
      <c r="A57" s="6" t="s">
        <v>432</v>
      </c>
      <c r="B57" s="6" t="s">
        <v>433</v>
      </c>
    </row>
    <row r="58" spans="1:2" ht="22.5" x14ac:dyDescent="0.3">
      <c r="A58" s="6" t="s">
        <v>188</v>
      </c>
      <c r="B58" s="6" t="s">
        <v>187</v>
      </c>
    </row>
    <row r="59" spans="1:2" ht="22.5" x14ac:dyDescent="0.3">
      <c r="A59" s="6" t="s">
        <v>561</v>
      </c>
      <c r="B59" s="6" t="s">
        <v>562</v>
      </c>
    </row>
    <row r="60" spans="1:2" ht="22.5" x14ac:dyDescent="0.3">
      <c r="A60" s="6" t="s">
        <v>189</v>
      </c>
      <c r="B60" s="6" t="s">
        <v>190</v>
      </c>
    </row>
    <row r="61" spans="1:2" ht="22.5" x14ac:dyDescent="0.3">
      <c r="A61" s="6" t="s">
        <v>343</v>
      </c>
      <c r="B61" s="6" t="s">
        <v>342</v>
      </c>
    </row>
    <row r="62" spans="1:2" ht="22.5" x14ac:dyDescent="0.3">
      <c r="A62" s="6" t="s">
        <v>318</v>
      </c>
      <c r="B62" s="6" t="s">
        <v>319</v>
      </c>
    </row>
    <row r="63" spans="1:2" ht="22.5" x14ac:dyDescent="0.3">
      <c r="A63" s="6" t="s">
        <v>330</v>
      </c>
      <c r="B63" s="6" t="s">
        <v>331</v>
      </c>
    </row>
    <row r="64" spans="1:2" ht="22.5" x14ac:dyDescent="0.3">
      <c r="A64" s="6" t="s">
        <v>168</v>
      </c>
      <c r="B64" s="6" t="s">
        <v>169</v>
      </c>
    </row>
    <row r="65" spans="1:2" ht="22.5" x14ac:dyDescent="0.3">
      <c r="A65" s="6" t="s">
        <v>172</v>
      </c>
      <c r="B65" s="6" t="s">
        <v>173</v>
      </c>
    </row>
    <row r="66" spans="1:2" ht="22.5" x14ac:dyDescent="0.3">
      <c r="A66" s="6" t="s">
        <v>242</v>
      </c>
      <c r="B66" s="6" t="s">
        <v>241</v>
      </c>
    </row>
    <row r="67" spans="1:2" ht="22.5" x14ac:dyDescent="0.3">
      <c r="A67" s="6" t="s">
        <v>287</v>
      </c>
      <c r="B67" s="6" t="s">
        <v>286</v>
      </c>
    </row>
    <row r="68" spans="1:2" ht="22.5" x14ac:dyDescent="0.3">
      <c r="A68" s="6" t="s">
        <v>366</v>
      </c>
      <c r="B68" s="6" t="s">
        <v>367</v>
      </c>
    </row>
    <row r="69" spans="1:2" ht="22.5" x14ac:dyDescent="0.3">
      <c r="A69" s="6" t="s">
        <v>567</v>
      </c>
      <c r="B69" s="6" t="s">
        <v>171</v>
      </c>
    </row>
    <row r="70" spans="1:2" ht="22.5" x14ac:dyDescent="0.3">
      <c r="A70" s="6" t="s">
        <v>233</v>
      </c>
      <c r="B70" s="6" t="s">
        <v>234</v>
      </c>
    </row>
    <row r="71" spans="1:2" ht="22.5" x14ac:dyDescent="0.3">
      <c r="A71" s="6" t="s">
        <v>484</v>
      </c>
      <c r="B71" s="6" t="s">
        <v>485</v>
      </c>
    </row>
    <row r="72" spans="1:2" ht="22.5" x14ac:dyDescent="0.3">
      <c r="A72" s="6" t="s">
        <v>251</v>
      </c>
      <c r="B72" s="6" t="s">
        <v>252</v>
      </c>
    </row>
    <row r="73" spans="1:2" ht="22.5" x14ac:dyDescent="0.3">
      <c r="A73" s="6" t="s">
        <v>391</v>
      </c>
      <c r="B73" s="6" t="s">
        <v>390</v>
      </c>
    </row>
    <row r="74" spans="1:2" ht="22.5" x14ac:dyDescent="0.3">
      <c r="A74" s="6" t="s">
        <v>553</v>
      </c>
      <c r="B74" s="6" t="s">
        <v>554</v>
      </c>
    </row>
    <row r="75" spans="1:2" ht="22.5" x14ac:dyDescent="0.3">
      <c r="A75" s="6" t="s">
        <v>150</v>
      </c>
      <c r="B75" s="6" t="s">
        <v>151</v>
      </c>
    </row>
    <row r="76" spans="1:2" ht="22.5" x14ac:dyDescent="0.3">
      <c r="A76" s="6" t="s">
        <v>196</v>
      </c>
      <c r="B76" s="6" t="s">
        <v>197</v>
      </c>
    </row>
    <row r="77" spans="1:2" ht="22.5" x14ac:dyDescent="0.3">
      <c r="A77" s="6" t="s">
        <v>364</v>
      </c>
      <c r="B77" s="6" t="s">
        <v>362</v>
      </c>
    </row>
    <row r="78" spans="1:2" ht="22.5" x14ac:dyDescent="0.3">
      <c r="A78" s="6" t="s">
        <v>365</v>
      </c>
      <c r="B78" s="6" t="s">
        <v>362</v>
      </c>
    </row>
    <row r="79" spans="1:2" ht="22.5" x14ac:dyDescent="0.3">
      <c r="A79" s="6" t="s">
        <v>398</v>
      </c>
      <c r="B79" s="6" t="s">
        <v>399</v>
      </c>
    </row>
    <row r="80" spans="1:2" ht="22.5" x14ac:dyDescent="0.3">
      <c r="A80" s="6" t="s">
        <v>538</v>
      </c>
      <c r="B80" s="6" t="s">
        <v>501</v>
      </c>
    </row>
    <row r="81" spans="1:2" ht="22.5" x14ac:dyDescent="0.3">
      <c r="A81" s="6" t="s">
        <v>267</v>
      </c>
      <c r="B81" s="6" t="s">
        <v>268</v>
      </c>
    </row>
    <row r="82" spans="1:2" ht="22.5" x14ac:dyDescent="0.3">
      <c r="A82" s="6" t="s">
        <v>200</v>
      </c>
      <c r="B82" s="6" t="s">
        <v>201</v>
      </c>
    </row>
    <row r="83" spans="1:2" ht="22.5" x14ac:dyDescent="0.3">
      <c r="A83" s="6" t="s">
        <v>346</v>
      </c>
      <c r="B83" s="6" t="s">
        <v>347</v>
      </c>
    </row>
    <row r="84" spans="1:2" ht="22.5" x14ac:dyDescent="0.3">
      <c r="A84" s="6" t="s">
        <v>352</v>
      </c>
      <c r="B84" s="6" t="s">
        <v>353</v>
      </c>
    </row>
    <row r="85" spans="1:2" ht="22.5" x14ac:dyDescent="0.3">
      <c r="A85" s="6" t="s">
        <v>355</v>
      </c>
      <c r="B85" s="6" t="s">
        <v>356</v>
      </c>
    </row>
    <row r="86" spans="1:2" ht="22.5" x14ac:dyDescent="0.3">
      <c r="A86" s="6" t="s">
        <v>212</v>
      </c>
      <c r="B86" s="6" t="s">
        <v>213</v>
      </c>
    </row>
    <row r="87" spans="1:2" ht="22.5" x14ac:dyDescent="0.3">
      <c r="A87" s="6" t="s">
        <v>442</v>
      </c>
      <c r="B87" s="6" t="s">
        <v>443</v>
      </c>
    </row>
    <row r="88" spans="1:2" ht="22.5" x14ac:dyDescent="0.3">
      <c r="A88" s="6" t="s">
        <v>449</v>
      </c>
      <c r="B88" s="6" t="s">
        <v>450</v>
      </c>
    </row>
    <row r="89" spans="1:2" ht="22.5" x14ac:dyDescent="0.3">
      <c r="A89" s="6" t="s">
        <v>275</v>
      </c>
      <c r="B89" s="6" t="s">
        <v>276</v>
      </c>
    </row>
    <row r="90" spans="1:2" ht="22.5" x14ac:dyDescent="0.3">
      <c r="A90" s="6" t="s">
        <v>349</v>
      </c>
      <c r="B90" s="6" t="s">
        <v>350</v>
      </c>
    </row>
    <row r="91" spans="1:2" ht="22.5" x14ac:dyDescent="0.3">
      <c r="A91" s="6" t="s">
        <v>273</v>
      </c>
      <c r="B91" s="6" t="s">
        <v>274</v>
      </c>
    </row>
    <row r="92" spans="1:2" ht="22.5" x14ac:dyDescent="0.3">
      <c r="A92" s="6" t="s">
        <v>428</v>
      </c>
      <c r="B92" s="6" t="s">
        <v>429</v>
      </c>
    </row>
    <row r="93" spans="1:2" ht="22.5" x14ac:dyDescent="0.3">
      <c r="A93" s="6" t="s">
        <v>177</v>
      </c>
      <c r="B93" s="6" t="s">
        <v>178</v>
      </c>
    </row>
    <row r="94" spans="1:2" ht="22.5" x14ac:dyDescent="0.3">
      <c r="A94" s="6" t="s">
        <v>205</v>
      </c>
      <c r="B94" s="6" t="s">
        <v>206</v>
      </c>
    </row>
    <row r="95" spans="1:2" ht="22.5" x14ac:dyDescent="0.3">
      <c r="A95" s="6" t="s">
        <v>446</v>
      </c>
      <c r="B95" s="6" t="s">
        <v>443</v>
      </c>
    </row>
    <row r="96" spans="1:2" ht="22.5" x14ac:dyDescent="0.3">
      <c r="A96" s="6" t="s">
        <v>486</v>
      </c>
      <c r="B96" s="6" t="s">
        <v>487</v>
      </c>
    </row>
    <row r="97" spans="1:2" ht="22.5" x14ac:dyDescent="0.3">
      <c r="A97" s="6" t="s">
        <v>455</v>
      </c>
      <c r="B97" s="6" t="s">
        <v>456</v>
      </c>
    </row>
    <row r="98" spans="1:2" ht="22.5" x14ac:dyDescent="0.3">
      <c r="A98" s="6" t="s">
        <v>310</v>
      </c>
      <c r="B98" s="6" t="s">
        <v>309</v>
      </c>
    </row>
    <row r="99" spans="1:2" ht="22.5" x14ac:dyDescent="0.3">
      <c r="A99" s="6" t="s">
        <v>537</v>
      </c>
      <c r="B99" s="6" t="s">
        <v>286</v>
      </c>
    </row>
    <row r="100" spans="1:2" ht="22.5" x14ac:dyDescent="0.3">
      <c r="A100" s="6" t="s">
        <v>407</v>
      </c>
      <c r="B100" s="6" t="s">
        <v>408</v>
      </c>
    </row>
    <row r="101" spans="1:2" ht="22.5" x14ac:dyDescent="0.3">
      <c r="A101" s="6" t="s">
        <v>203</v>
      </c>
      <c r="B101" s="6" t="s">
        <v>204</v>
      </c>
    </row>
    <row r="102" spans="1:2" ht="22.5" x14ac:dyDescent="0.3">
      <c r="A102" s="6" t="s">
        <v>219</v>
      </c>
      <c r="B102" s="6" t="s">
        <v>220</v>
      </c>
    </row>
    <row r="103" spans="1:2" ht="22.5" x14ac:dyDescent="0.3">
      <c r="A103" s="6" t="s">
        <v>437</v>
      </c>
      <c r="B103" s="6" t="s">
        <v>438</v>
      </c>
    </row>
    <row r="104" spans="1:2" ht="22.5" x14ac:dyDescent="0.3">
      <c r="A104" s="6" t="s">
        <v>509</v>
      </c>
      <c r="B104" s="6" t="s">
        <v>510</v>
      </c>
    </row>
    <row r="105" spans="1:2" ht="22.5" x14ac:dyDescent="0.3">
      <c r="A105" s="6" t="s">
        <v>238</v>
      </c>
      <c r="B105" s="6" t="s">
        <v>239</v>
      </c>
    </row>
    <row r="106" spans="1:2" ht="22.5" x14ac:dyDescent="0.3">
      <c r="A106" s="6" t="s">
        <v>569</v>
      </c>
      <c r="B106" s="6" t="s">
        <v>570</v>
      </c>
    </row>
    <row r="107" spans="1:2" ht="22.5" x14ac:dyDescent="0.3">
      <c r="A107" s="6" t="s">
        <v>320</v>
      </c>
      <c r="B107" s="6" t="s">
        <v>321</v>
      </c>
    </row>
    <row r="108" spans="1:2" ht="22.5" x14ac:dyDescent="0.3">
      <c r="A108" s="6" t="s">
        <v>572</v>
      </c>
      <c r="B108" s="6" t="s">
        <v>573</v>
      </c>
    </row>
    <row r="109" spans="1:2" ht="22.5" x14ac:dyDescent="0.3">
      <c r="A109" s="6" t="s">
        <v>340</v>
      </c>
      <c r="B109" s="6" t="s">
        <v>339</v>
      </c>
    </row>
    <row r="110" spans="1:2" ht="22.5" x14ac:dyDescent="0.3">
      <c r="A110" s="6" t="s">
        <v>295</v>
      </c>
      <c r="B110" s="6" t="s">
        <v>293</v>
      </c>
    </row>
    <row r="111" spans="1:2" ht="22.5" x14ac:dyDescent="0.3">
      <c r="A111" s="6" t="s">
        <v>459</v>
      </c>
      <c r="B111" s="6" t="s">
        <v>458</v>
      </c>
    </row>
    <row r="112" spans="1:2" ht="22.5" x14ac:dyDescent="0.3">
      <c r="A112" s="6" t="s">
        <v>290</v>
      </c>
      <c r="B112" s="6" t="s">
        <v>291</v>
      </c>
    </row>
    <row r="113" spans="1:2" ht="22.5" x14ac:dyDescent="0.3">
      <c r="A113" s="6" t="s">
        <v>305</v>
      </c>
      <c r="B113" s="6" t="s">
        <v>306</v>
      </c>
    </row>
    <row r="114" spans="1:2" ht="22.5" x14ac:dyDescent="0.3">
      <c r="A114" s="6" t="s">
        <v>324</v>
      </c>
      <c r="B114" s="6" t="s">
        <v>325</v>
      </c>
    </row>
    <row r="115" spans="1:2" ht="22.5" x14ac:dyDescent="0.3">
      <c r="A115" s="6" t="s">
        <v>271</v>
      </c>
      <c r="B115" s="6" t="s">
        <v>272</v>
      </c>
    </row>
    <row r="116" spans="1:2" ht="22.5" x14ac:dyDescent="0.3">
      <c r="A116" s="6" t="s">
        <v>316</v>
      </c>
      <c r="B116" s="6" t="s">
        <v>317</v>
      </c>
    </row>
    <row r="117" spans="1:2" ht="22.5" x14ac:dyDescent="0.3">
      <c r="A117" s="6" t="s">
        <v>374</v>
      </c>
      <c r="B117" s="6" t="s">
        <v>375</v>
      </c>
    </row>
    <row r="118" spans="1:2" ht="22.5" x14ac:dyDescent="0.3">
      <c r="A118" s="6" t="s">
        <v>376</v>
      </c>
      <c r="B118" s="6" t="s">
        <v>375</v>
      </c>
    </row>
    <row r="119" spans="1:2" ht="22.5" x14ac:dyDescent="0.3">
      <c r="A119" s="6" t="s">
        <v>436</v>
      </c>
      <c r="B119" s="6" t="s">
        <v>435</v>
      </c>
    </row>
    <row r="120" spans="1:2" ht="22.5" x14ac:dyDescent="0.3">
      <c r="A120" s="6" t="s">
        <v>217</v>
      </c>
      <c r="B120" s="6" t="s">
        <v>218</v>
      </c>
    </row>
    <row r="121" spans="1:2" ht="22.5" x14ac:dyDescent="0.3">
      <c r="A121" s="6" t="s">
        <v>307</v>
      </c>
      <c r="B121" s="6" t="s">
        <v>306</v>
      </c>
    </row>
    <row r="122" spans="1:2" ht="22.5" x14ac:dyDescent="0.3">
      <c r="A122" s="6" t="s">
        <v>568</v>
      </c>
      <c r="B122" s="6" t="s">
        <v>373</v>
      </c>
    </row>
    <row r="123" spans="1:2" ht="22.5" x14ac:dyDescent="0.3">
      <c r="A123" s="6" t="s">
        <v>506</v>
      </c>
      <c r="B123" s="6" t="s">
        <v>507</v>
      </c>
    </row>
    <row r="124" spans="1:2" ht="22.5" x14ac:dyDescent="0.3">
      <c r="A124" s="6" t="s">
        <v>231</v>
      </c>
      <c r="B124" s="6" t="s">
        <v>232</v>
      </c>
    </row>
    <row r="125" spans="1:2" ht="22.5" x14ac:dyDescent="0.3">
      <c r="A125" s="6" t="s">
        <v>159</v>
      </c>
      <c r="B125" s="6" t="s">
        <v>160</v>
      </c>
    </row>
    <row r="126" spans="1:2" ht="22.5" x14ac:dyDescent="0.3">
      <c r="A126" s="6" t="s">
        <v>548</v>
      </c>
      <c r="B126" s="6" t="s">
        <v>206</v>
      </c>
    </row>
    <row r="127" spans="1:2" ht="22.5" x14ac:dyDescent="0.3">
      <c r="A127" s="6" t="s">
        <v>161</v>
      </c>
      <c r="B127" s="6" t="s">
        <v>162</v>
      </c>
    </row>
    <row r="128" spans="1:2" ht="22.5" x14ac:dyDescent="0.3">
      <c r="A128" s="6" t="s">
        <v>422</v>
      </c>
      <c r="B128" s="6" t="s">
        <v>423</v>
      </c>
    </row>
    <row r="129" spans="1:2" ht="22.5" x14ac:dyDescent="0.3">
      <c r="A129" s="6" t="s">
        <v>491</v>
      </c>
      <c r="B129" s="6" t="s">
        <v>492</v>
      </c>
    </row>
    <row r="130" spans="1:2" ht="22.5" x14ac:dyDescent="0.3">
      <c r="A130" s="6" t="s">
        <v>494</v>
      </c>
      <c r="B130" s="6" t="s">
        <v>495</v>
      </c>
    </row>
    <row r="131" spans="1:2" ht="22.5" x14ac:dyDescent="0.3">
      <c r="A131" s="6" t="s">
        <v>298</v>
      </c>
      <c r="B131" s="6" t="s">
        <v>299</v>
      </c>
    </row>
    <row r="132" spans="1:2" ht="22.5" x14ac:dyDescent="0.3">
      <c r="A132" s="6" t="s">
        <v>288</v>
      </c>
      <c r="B132" s="6" t="s">
        <v>289</v>
      </c>
    </row>
    <row r="133" spans="1:2" ht="22.5" x14ac:dyDescent="0.3">
      <c r="A133" s="6" t="s">
        <v>405</v>
      </c>
      <c r="B133" s="6" t="s">
        <v>406</v>
      </c>
    </row>
    <row r="134" spans="1:2" ht="22.5" x14ac:dyDescent="0.3">
      <c r="A134" s="6" t="s">
        <v>383</v>
      </c>
      <c r="B134" s="6" t="s">
        <v>384</v>
      </c>
    </row>
    <row r="135" spans="1:2" ht="22.5" x14ac:dyDescent="0.3">
      <c r="A135" s="6" t="s">
        <v>245</v>
      </c>
      <c r="B135" s="6" t="s">
        <v>246</v>
      </c>
    </row>
    <row r="136" spans="1:2" ht="22.5" x14ac:dyDescent="0.3">
      <c r="A136" s="6" t="s">
        <v>372</v>
      </c>
      <c r="B136" s="6" t="s">
        <v>373</v>
      </c>
    </row>
    <row r="137" spans="1:2" ht="22.5" x14ac:dyDescent="0.3">
      <c r="A137" s="6" t="s">
        <v>502</v>
      </c>
      <c r="B137" s="6" t="s">
        <v>503</v>
      </c>
    </row>
    <row r="138" spans="1:2" ht="22.5" x14ac:dyDescent="0.3">
      <c r="A138" s="6" t="s">
        <v>541</v>
      </c>
      <c r="B138" s="6" t="s">
        <v>542</v>
      </c>
    </row>
    <row r="139" spans="1:2" ht="22.5" x14ac:dyDescent="0.3">
      <c r="A139" s="6" t="s">
        <v>381</v>
      </c>
      <c r="B139" s="6" t="s">
        <v>382</v>
      </c>
    </row>
    <row r="140" spans="1:2" ht="22.5" x14ac:dyDescent="0.3">
      <c r="A140" s="6" t="s">
        <v>247</v>
      </c>
      <c r="B140" s="6" t="s">
        <v>248</v>
      </c>
    </row>
    <row r="141" spans="1:2" ht="22.5" x14ac:dyDescent="0.3">
      <c r="A141" s="6" t="s">
        <v>439</v>
      </c>
      <c r="B141" s="6" t="s">
        <v>438</v>
      </c>
    </row>
    <row r="142" spans="1:2" ht="22.5" x14ac:dyDescent="0.3">
      <c r="A142" s="6" t="s">
        <v>357</v>
      </c>
      <c r="B142" s="6" t="s">
        <v>358</v>
      </c>
    </row>
    <row r="143" spans="1:2" ht="22.5" x14ac:dyDescent="0.3">
      <c r="A143" s="6" t="s">
        <v>157</v>
      </c>
      <c r="B143" s="6" t="s">
        <v>158</v>
      </c>
    </row>
    <row r="144" spans="1:2" ht="22.5" x14ac:dyDescent="0.3">
      <c r="A144" s="6" t="s">
        <v>332</v>
      </c>
      <c r="B144" s="6" t="s">
        <v>333</v>
      </c>
    </row>
    <row r="145" spans="1:2" ht="22.5" x14ac:dyDescent="0.3">
      <c r="A145" s="6" t="s">
        <v>279</v>
      </c>
      <c r="B145" s="6" t="s">
        <v>280</v>
      </c>
    </row>
    <row r="146" spans="1:2" ht="22.5" x14ac:dyDescent="0.3">
      <c r="A146" s="6" t="s">
        <v>263</v>
      </c>
      <c r="B146" s="6" t="s">
        <v>264</v>
      </c>
    </row>
    <row r="147" spans="1:2" ht="22.5" x14ac:dyDescent="0.3">
      <c r="A147" s="6" t="s">
        <v>496</v>
      </c>
      <c r="B147" s="6" t="s">
        <v>241</v>
      </c>
    </row>
    <row r="148" spans="1:2" ht="22.5" x14ac:dyDescent="0.3">
      <c r="A148" s="6" t="s">
        <v>249</v>
      </c>
      <c r="B148" s="6" t="s">
        <v>250</v>
      </c>
    </row>
    <row r="149" spans="1:2" ht="22.5" x14ac:dyDescent="0.3">
      <c r="A149" s="6" t="s">
        <v>379</v>
      </c>
      <c r="B149" s="6" t="s">
        <v>380</v>
      </c>
    </row>
    <row r="150" spans="1:2" ht="22.5" x14ac:dyDescent="0.3">
      <c r="A150" s="6" t="s">
        <v>377</v>
      </c>
      <c r="B150" s="6" t="s">
        <v>378</v>
      </c>
    </row>
    <row r="151" spans="1:2" ht="22.5" x14ac:dyDescent="0.3">
      <c r="A151" s="6" t="s">
        <v>370</v>
      </c>
      <c r="B151" s="6" t="s">
        <v>371</v>
      </c>
    </row>
    <row r="152" spans="1:2" ht="22.5" x14ac:dyDescent="0.3">
      <c r="A152" s="6" t="s">
        <v>155</v>
      </c>
      <c r="B152" s="6" t="s">
        <v>156</v>
      </c>
    </row>
    <row r="153" spans="1:2" ht="22.5" x14ac:dyDescent="0.3">
      <c r="A153" s="6" t="s">
        <v>186</v>
      </c>
      <c r="B153" s="6" t="s">
        <v>187</v>
      </c>
    </row>
    <row r="154" spans="1:2" ht="22.5" x14ac:dyDescent="0.3">
      <c r="A154" s="6" t="s">
        <v>303</v>
      </c>
      <c r="B154" s="6" t="s">
        <v>301</v>
      </c>
    </row>
    <row r="155" spans="1:2" ht="22.5" x14ac:dyDescent="0.3">
      <c r="A155" s="6" t="s">
        <v>505</v>
      </c>
      <c r="B155" s="6" t="s">
        <v>301</v>
      </c>
    </row>
    <row r="156" spans="1:2" ht="22.5" x14ac:dyDescent="0.3">
      <c r="A156" s="6" t="s">
        <v>421</v>
      </c>
      <c r="B156" s="6" t="s">
        <v>420</v>
      </c>
    </row>
    <row r="157" spans="1:2" ht="22.5" x14ac:dyDescent="0.3">
      <c r="A157" s="6" t="s">
        <v>413</v>
      </c>
      <c r="B157" s="6" t="s">
        <v>410</v>
      </c>
    </row>
    <row r="158" spans="1:2" ht="22.5" x14ac:dyDescent="0.3">
      <c r="A158" s="6" t="s">
        <v>412</v>
      </c>
      <c r="B158" s="6" t="s">
        <v>410</v>
      </c>
    </row>
    <row r="159" spans="1:2" ht="22.5" x14ac:dyDescent="0.3">
      <c r="A159" s="6" t="s">
        <v>258</v>
      </c>
      <c r="B159" s="6" t="s">
        <v>256</v>
      </c>
    </row>
    <row r="160" spans="1:2" ht="22.5" x14ac:dyDescent="0.3">
      <c r="A160" s="6" t="s">
        <v>440</v>
      </c>
      <c r="B160" s="6" t="s">
        <v>441</v>
      </c>
    </row>
    <row r="161" spans="1:2" ht="22.5" x14ac:dyDescent="0.3">
      <c r="A161" s="6" t="s">
        <v>389</v>
      </c>
      <c r="B161" s="6" t="s">
        <v>390</v>
      </c>
    </row>
    <row r="162" spans="1:2" ht="22.5" x14ac:dyDescent="0.3">
      <c r="A162" s="6" t="s">
        <v>259</v>
      </c>
      <c r="B162" s="6" t="s">
        <v>260</v>
      </c>
    </row>
    <row r="163" spans="1:2" ht="22.5" x14ac:dyDescent="0.3">
      <c r="A163" s="6" t="s">
        <v>563</v>
      </c>
      <c r="B163" s="6" t="s">
        <v>232</v>
      </c>
    </row>
    <row r="164" spans="1:2" ht="22.5" x14ac:dyDescent="0.3">
      <c r="A164" s="6" t="s">
        <v>257</v>
      </c>
      <c r="B164" s="6" t="s">
        <v>256</v>
      </c>
    </row>
    <row r="165" spans="1:2" ht="22.5" x14ac:dyDescent="0.3">
      <c r="A165" s="6" t="s">
        <v>504</v>
      </c>
      <c r="B165" s="6" t="s">
        <v>501</v>
      </c>
    </row>
    <row r="166" spans="1:2" ht="22.5" x14ac:dyDescent="0.3">
      <c r="A166" s="6" t="s">
        <v>551</v>
      </c>
      <c r="B166" s="6" t="s">
        <v>552</v>
      </c>
    </row>
    <row r="167" spans="1:2" ht="22.5" x14ac:dyDescent="0.3">
      <c r="A167" s="6" t="s">
        <v>304</v>
      </c>
      <c r="B167" s="6" t="s">
        <v>301</v>
      </c>
    </row>
    <row r="168" spans="1:2" ht="22.5" x14ac:dyDescent="0.3">
      <c r="A168" s="6" t="s">
        <v>394</v>
      </c>
      <c r="B168" s="6" t="s">
        <v>395</v>
      </c>
    </row>
    <row r="169" spans="1:2" ht="22.5" x14ac:dyDescent="0.3">
      <c r="A169" s="6" t="s">
        <v>444</v>
      </c>
      <c r="B169" s="6" t="s">
        <v>443</v>
      </c>
    </row>
    <row r="170" spans="1:2" ht="22.5" x14ac:dyDescent="0.3">
      <c r="A170" s="6" t="s">
        <v>326</v>
      </c>
      <c r="B170" s="6" t="s">
        <v>327</v>
      </c>
    </row>
    <row r="171" spans="1:2" ht="22.5" x14ac:dyDescent="0.3">
      <c r="A171" s="6" t="s">
        <v>359</v>
      </c>
      <c r="B171" s="6" t="s">
        <v>360</v>
      </c>
    </row>
    <row r="172" spans="1:2" ht="22.5" x14ac:dyDescent="0.3">
      <c r="A172" s="6" t="s">
        <v>302</v>
      </c>
      <c r="B172" s="6" t="s">
        <v>301</v>
      </c>
    </row>
    <row r="173" spans="1:2" ht="22.5" x14ac:dyDescent="0.3">
      <c r="A173" s="6" t="s">
        <v>519</v>
      </c>
      <c r="B173" s="6" t="s">
        <v>380</v>
      </c>
    </row>
    <row r="174" spans="1:2" ht="22.5" x14ac:dyDescent="0.3">
      <c r="A174" s="6" t="s">
        <v>322</v>
      </c>
      <c r="B174" s="6" t="s">
        <v>323</v>
      </c>
    </row>
    <row r="175" spans="1:2" ht="22.5" x14ac:dyDescent="0.3">
      <c r="A175" s="6" t="s">
        <v>411</v>
      </c>
      <c r="B175" s="6" t="s">
        <v>410</v>
      </c>
    </row>
    <row r="176" spans="1:2" ht="22.5" x14ac:dyDescent="0.3">
      <c r="A176" s="6" t="s">
        <v>296</v>
      </c>
      <c r="B176" s="6" t="s">
        <v>297</v>
      </c>
    </row>
    <row r="177" spans="1:2" ht="22.5" x14ac:dyDescent="0.3">
      <c r="A177" s="6" t="s">
        <v>214</v>
      </c>
      <c r="B177" s="6" t="s">
        <v>215</v>
      </c>
    </row>
    <row r="178" spans="1:2" ht="22.5" x14ac:dyDescent="0.3">
      <c r="A178" s="6" t="s">
        <v>216</v>
      </c>
      <c r="B178" s="6" t="s">
        <v>215</v>
      </c>
    </row>
    <row r="179" spans="1:2" ht="22.5" x14ac:dyDescent="0.3">
      <c r="A179" s="6" t="s">
        <v>483</v>
      </c>
      <c r="B179" s="6" t="s">
        <v>461</v>
      </c>
    </row>
    <row r="180" spans="1:2" ht="22.5" x14ac:dyDescent="0.3">
      <c r="A180" s="6" t="s">
        <v>210</v>
      </c>
      <c r="B180" s="6" t="s">
        <v>211</v>
      </c>
    </row>
    <row r="181" spans="1:2" ht="22.5" x14ac:dyDescent="0.3">
      <c r="A181" s="6" t="s">
        <v>363</v>
      </c>
      <c r="B181" s="6" t="s">
        <v>362</v>
      </c>
    </row>
    <row r="182" spans="1:2" ht="22.5" x14ac:dyDescent="0.3">
      <c r="A182" s="6" t="s">
        <v>453</v>
      </c>
      <c r="B182" s="6" t="s">
        <v>454</v>
      </c>
    </row>
    <row r="183" spans="1:2" ht="22.5" x14ac:dyDescent="0.3">
      <c r="A183" s="6" t="s">
        <v>253</v>
      </c>
      <c r="B183" s="6" t="s">
        <v>254</v>
      </c>
    </row>
    <row r="184" spans="1:2" ht="22.5" x14ac:dyDescent="0.3">
      <c r="A184" s="6" t="s">
        <v>414</v>
      </c>
      <c r="B184" s="6" t="s">
        <v>415</v>
      </c>
    </row>
    <row r="185" spans="1:2" ht="22.5" x14ac:dyDescent="0.3">
      <c r="A185" s="6" t="s">
        <v>283</v>
      </c>
      <c r="B185" s="6" t="s">
        <v>284</v>
      </c>
    </row>
    <row r="186" spans="1:2" ht="22.5" x14ac:dyDescent="0.3">
      <c r="A186" s="6" t="s">
        <v>221</v>
      </c>
      <c r="B186" s="6" t="s">
        <v>222</v>
      </c>
    </row>
    <row r="187" spans="1:2" ht="22.5" x14ac:dyDescent="0.3">
      <c r="A187" s="6" t="s">
        <v>424</v>
      </c>
      <c r="B187" s="6" t="s">
        <v>425</v>
      </c>
    </row>
    <row r="188" spans="1:2" ht="22.5" x14ac:dyDescent="0.3">
      <c r="A188" s="6" t="s">
        <v>181</v>
      </c>
      <c r="B188" s="6" t="s">
        <v>182</v>
      </c>
    </row>
    <row r="189" spans="1:2" ht="22.5" x14ac:dyDescent="0.3">
      <c r="A189" s="6" t="s">
        <v>426</v>
      </c>
      <c r="B189" s="6" t="s">
        <v>427</v>
      </c>
    </row>
    <row r="190" spans="1:2" ht="22.5" x14ac:dyDescent="0.3">
      <c r="A190" s="6" t="s">
        <v>416</v>
      </c>
      <c r="B190" s="6" t="s">
        <v>417</v>
      </c>
    </row>
    <row r="191" spans="1:2" ht="22.5" x14ac:dyDescent="0.3">
      <c r="A191" s="6" t="s">
        <v>194</v>
      </c>
      <c r="B191" s="6" t="s">
        <v>195</v>
      </c>
    </row>
    <row r="192" spans="1:2" ht="22.5" x14ac:dyDescent="0.3">
      <c r="A192" s="6" t="s">
        <v>312</v>
      </c>
      <c r="B192" s="6" t="s">
        <v>313</v>
      </c>
    </row>
    <row r="193" spans="1:2" ht="22.5" x14ac:dyDescent="0.3">
      <c r="A193" s="6" t="s">
        <v>183</v>
      </c>
      <c r="B193" s="6" t="s">
        <v>184</v>
      </c>
    </row>
    <row r="194" spans="1:2" ht="22.5" x14ac:dyDescent="0.3">
      <c r="A194" s="6" t="s">
        <v>185</v>
      </c>
      <c r="B194" s="6" t="s">
        <v>184</v>
      </c>
    </row>
    <row r="195" spans="1:2" ht="22.5" x14ac:dyDescent="0.3">
      <c r="A195" s="6" t="s">
        <v>336</v>
      </c>
      <c r="B195" s="6" t="s">
        <v>337</v>
      </c>
    </row>
    <row r="196" spans="1:2" ht="22.5" x14ac:dyDescent="0.3">
      <c r="A196" s="6" t="s">
        <v>281</v>
      </c>
      <c r="B196" s="6" t="s">
        <v>282</v>
      </c>
    </row>
    <row r="197" spans="1:2" ht="22.5" x14ac:dyDescent="0.3">
      <c r="A197" s="6" t="s">
        <v>338</v>
      </c>
      <c r="B197" s="6" t="s">
        <v>339</v>
      </c>
    </row>
    <row r="198" spans="1:2" ht="22.5" x14ac:dyDescent="0.3">
      <c r="A198" s="6" t="s">
        <v>334</v>
      </c>
      <c r="B198" s="6" t="s">
        <v>335</v>
      </c>
    </row>
    <row r="199" spans="1:2" ht="22.5" x14ac:dyDescent="0.3">
      <c r="A199" s="6" t="s">
        <v>434</v>
      </c>
      <c r="B199" s="6" t="s">
        <v>435</v>
      </c>
    </row>
    <row r="200" spans="1:2" ht="22.5" x14ac:dyDescent="0.3">
      <c r="A200" s="6" t="s">
        <v>419</v>
      </c>
      <c r="B200" s="6" t="s">
        <v>420</v>
      </c>
    </row>
    <row r="201" spans="1:2" ht="22.5" x14ac:dyDescent="0.3">
      <c r="A201" s="6" t="s">
        <v>513</v>
      </c>
      <c r="B201" s="6" t="s">
        <v>306</v>
      </c>
    </row>
    <row r="202" spans="1:2" ht="22.5" x14ac:dyDescent="0.3">
      <c r="A202" s="6" t="s">
        <v>269</v>
      </c>
      <c r="B202" s="6" t="s">
        <v>270</v>
      </c>
    </row>
    <row r="203" spans="1:2" ht="22.5" x14ac:dyDescent="0.3">
      <c r="A203" s="6" t="s">
        <v>462</v>
      </c>
      <c r="B203" s="6" t="s">
        <v>461</v>
      </c>
    </row>
    <row r="204" spans="1:2" ht="22.5" x14ac:dyDescent="0.3">
      <c r="A204" s="6" t="s">
        <v>174</v>
      </c>
      <c r="B204" s="6" t="s">
        <v>175</v>
      </c>
    </row>
    <row r="205" spans="1:2" ht="22.5" x14ac:dyDescent="0.3">
      <c r="A205" s="6" t="s">
        <v>385</v>
      </c>
      <c r="B205" s="6" t="s">
        <v>386</v>
      </c>
    </row>
    <row r="206" spans="1:2" ht="22.5" x14ac:dyDescent="0.3">
      <c r="A206" s="6" t="s">
        <v>460</v>
      </c>
      <c r="B206" s="6" t="s">
        <v>461</v>
      </c>
    </row>
    <row r="207" spans="1:2" ht="22.5" x14ac:dyDescent="0.3">
      <c r="A207" s="6" t="s">
        <v>176</v>
      </c>
      <c r="B207" s="6" t="s">
        <v>175</v>
      </c>
    </row>
    <row r="208" spans="1:2" ht="22.5" x14ac:dyDescent="0.3">
      <c r="A208" s="6" t="s">
        <v>539</v>
      </c>
      <c r="B208" s="6" t="s">
        <v>461</v>
      </c>
    </row>
    <row r="209" spans="1:2" ht="22.5" x14ac:dyDescent="0.3">
      <c r="A209" s="6" t="s">
        <v>653</v>
      </c>
      <c r="B209" s="6" t="s">
        <v>461</v>
      </c>
    </row>
    <row r="210" spans="1:2" ht="22.5" x14ac:dyDescent="0.3">
      <c r="A210" s="6" t="s">
        <v>165</v>
      </c>
      <c r="B210" s="6" t="s">
        <v>164</v>
      </c>
    </row>
    <row r="211" spans="1:2" ht="22.5" x14ac:dyDescent="0.3">
      <c r="A211" s="6" t="s">
        <v>311</v>
      </c>
      <c r="B211" s="6" t="s">
        <v>309</v>
      </c>
    </row>
    <row r="212" spans="1:2" ht="22.5" x14ac:dyDescent="0.3">
      <c r="A212" s="6" t="s">
        <v>348</v>
      </c>
      <c r="B212" s="6" t="s">
        <v>347</v>
      </c>
    </row>
    <row r="213" spans="1:2" ht="22.5" x14ac:dyDescent="0.3">
      <c r="A213" s="6" t="s">
        <v>285</v>
      </c>
      <c r="B213" s="6" t="s">
        <v>286</v>
      </c>
    </row>
    <row r="214" spans="1:2" ht="22.5" x14ac:dyDescent="0.3">
      <c r="A214" s="6" t="s">
        <v>228</v>
      </c>
      <c r="B214" s="6" t="s">
        <v>224</v>
      </c>
    </row>
    <row r="215" spans="1:2" ht="22.5" x14ac:dyDescent="0.3">
      <c r="A215" s="6" t="s">
        <v>493</v>
      </c>
      <c r="B215" s="6" t="s">
        <v>224</v>
      </c>
    </row>
    <row r="216" spans="1:2" ht="22.5" x14ac:dyDescent="0.3">
      <c r="A216" s="6" t="s">
        <v>230</v>
      </c>
      <c r="B216" s="6" t="s">
        <v>224</v>
      </c>
    </row>
    <row r="217" spans="1:2" ht="22.5" x14ac:dyDescent="0.3">
      <c r="A217" s="6" t="s">
        <v>227</v>
      </c>
      <c r="B217" s="6" t="s">
        <v>224</v>
      </c>
    </row>
    <row r="218" spans="1:2" ht="22.5" x14ac:dyDescent="0.3">
      <c r="A218" s="6" t="s">
        <v>223</v>
      </c>
      <c r="B218" s="6" t="s">
        <v>224</v>
      </c>
    </row>
    <row r="219" spans="1:2" ht="22.5" x14ac:dyDescent="0.3">
      <c r="A219" s="6" t="s">
        <v>229</v>
      </c>
      <c r="B219" s="6" t="s">
        <v>224</v>
      </c>
    </row>
    <row r="220" spans="1:2" ht="22.5" x14ac:dyDescent="0.3">
      <c r="A220" s="6" t="s">
        <v>341</v>
      </c>
      <c r="B220" s="6" t="s">
        <v>342</v>
      </c>
    </row>
    <row r="221" spans="1:2" ht="22.5" x14ac:dyDescent="0.3">
      <c r="A221" s="6" t="s">
        <v>292</v>
      </c>
      <c r="B221" s="6" t="s">
        <v>293</v>
      </c>
    </row>
    <row r="222" spans="1:2" ht="22.5" x14ac:dyDescent="0.3">
      <c r="A222" s="6" t="s">
        <v>294</v>
      </c>
      <c r="B222" s="6" t="s">
        <v>293</v>
      </c>
    </row>
    <row r="223" spans="1:2" ht="22.5" x14ac:dyDescent="0.3">
      <c r="A223" s="6" t="s">
        <v>457</v>
      </c>
      <c r="B223" s="6" t="s">
        <v>458</v>
      </c>
    </row>
    <row r="224" spans="1:2" ht="22.5" x14ac:dyDescent="0.3">
      <c r="A224" s="6" t="s">
        <v>300</v>
      </c>
      <c r="B224" s="6" t="s">
        <v>301</v>
      </c>
    </row>
    <row r="225" spans="1:2" ht="22.5" x14ac:dyDescent="0.3">
      <c r="A225" s="6" t="s">
        <v>240</v>
      </c>
      <c r="B225" s="6" t="s">
        <v>241</v>
      </c>
    </row>
    <row r="226" spans="1:2" ht="22.5" x14ac:dyDescent="0.3">
      <c r="A226" s="6" t="s">
        <v>518</v>
      </c>
      <c r="B226" s="6" t="s">
        <v>306</v>
      </c>
    </row>
    <row r="227" spans="1:2" ht="22.5" x14ac:dyDescent="0.3">
      <c r="A227" s="6" t="s">
        <v>409</v>
      </c>
      <c r="B227" s="6" t="s">
        <v>410</v>
      </c>
    </row>
    <row r="228" spans="1:2" ht="22.5" x14ac:dyDescent="0.3">
      <c r="A228" s="6" t="s">
        <v>235</v>
      </c>
      <c r="B228" s="6" t="s">
        <v>234</v>
      </c>
    </row>
    <row r="229" spans="1:2" ht="22.5" x14ac:dyDescent="0.3">
      <c r="A229" s="6" t="s">
        <v>539</v>
      </c>
      <c r="B229" s="6" t="s">
        <v>461</v>
      </c>
    </row>
    <row r="230" spans="1:2" ht="22.5" x14ac:dyDescent="0.3">
      <c r="A230" s="6" t="s">
        <v>243</v>
      </c>
      <c r="B230" s="6" t="s">
        <v>244</v>
      </c>
    </row>
    <row r="231" spans="1:2" ht="22.5" x14ac:dyDescent="0.3">
      <c r="A231" s="6" t="s">
        <v>265</v>
      </c>
      <c r="B231" s="6" t="s">
        <v>266</v>
      </c>
    </row>
    <row r="232" spans="1:2" ht="22.5" x14ac:dyDescent="0.3">
      <c r="A232" s="6" t="s">
        <v>540</v>
      </c>
      <c r="B232" s="6" t="s">
        <v>151</v>
      </c>
    </row>
    <row r="233" spans="1:2" ht="22.5" x14ac:dyDescent="0.3">
      <c r="A233" s="6" t="s">
        <v>152</v>
      </c>
      <c r="B233" s="6" t="s">
        <v>151</v>
      </c>
    </row>
    <row r="234" spans="1:2" ht="22.5" x14ac:dyDescent="0.3">
      <c r="A234" s="6" t="s">
        <v>387</v>
      </c>
      <c r="B234" s="6" t="s">
        <v>388</v>
      </c>
    </row>
    <row r="235" spans="1:2" ht="22.5" x14ac:dyDescent="0.3">
      <c r="A235" s="6" t="s">
        <v>344</v>
      </c>
      <c r="B235" s="6" t="s">
        <v>345</v>
      </c>
    </row>
    <row r="236" spans="1:2" ht="22.5" x14ac:dyDescent="0.3">
      <c r="A236" s="6" t="s">
        <v>361</v>
      </c>
      <c r="B236" s="6" t="s">
        <v>362</v>
      </c>
    </row>
    <row r="237" spans="1:2" ht="22.5" x14ac:dyDescent="0.3">
      <c r="A237" s="6" t="s">
        <v>402</v>
      </c>
      <c r="B237" s="6" t="s">
        <v>403</v>
      </c>
    </row>
    <row r="238" spans="1:2" ht="22.5" x14ac:dyDescent="0.3">
      <c r="A238" s="6" t="s">
        <v>404</v>
      </c>
      <c r="B238" s="6" t="s">
        <v>403</v>
      </c>
    </row>
    <row r="239" spans="1:2" ht="22.5" x14ac:dyDescent="0.3">
      <c r="A239" s="6" t="s">
        <v>314</v>
      </c>
      <c r="B239" s="6" t="s">
        <v>315</v>
      </c>
    </row>
    <row r="240" spans="1:2" ht="22.5" x14ac:dyDescent="0.3">
      <c r="A240" s="6" t="s">
        <v>255</v>
      </c>
      <c r="B240" s="6" t="s">
        <v>256</v>
      </c>
    </row>
    <row r="241" spans="1:2" ht="22.5" x14ac:dyDescent="0.3">
      <c r="A241" s="6" t="s">
        <v>396</v>
      </c>
      <c r="B241" s="6" t="s">
        <v>397</v>
      </c>
    </row>
    <row r="242" spans="1:2" ht="22.5" x14ac:dyDescent="0.3">
      <c r="A242" s="6" t="s">
        <v>191</v>
      </c>
      <c r="B242" s="6" t="s">
        <v>192</v>
      </c>
    </row>
    <row r="243" spans="1:2" ht="22.5" x14ac:dyDescent="0.3">
      <c r="A243" s="6" t="s">
        <v>179</v>
      </c>
      <c r="B243" s="6" t="s">
        <v>180</v>
      </c>
    </row>
    <row r="244" spans="1:2" ht="22.5" x14ac:dyDescent="0.3">
      <c r="A244" s="6" t="s">
        <v>236</v>
      </c>
      <c r="B244" s="6" t="s">
        <v>237</v>
      </c>
    </row>
    <row r="245" spans="1:2" ht="22.5" x14ac:dyDescent="0.3">
      <c r="A245" s="6" t="s">
        <v>208</v>
      </c>
      <c r="B245" s="6" t="s">
        <v>209</v>
      </c>
    </row>
    <row r="246" spans="1:2" ht="22.5" x14ac:dyDescent="0.3">
      <c r="A246" s="6" t="s">
        <v>166</v>
      </c>
      <c r="B246" s="6" t="s">
        <v>167</v>
      </c>
    </row>
    <row r="247" spans="1:2" ht="22.5" x14ac:dyDescent="0.3">
      <c r="A247" s="6" t="s">
        <v>500</v>
      </c>
      <c r="B247" s="6" t="s">
        <v>501</v>
      </c>
    </row>
    <row r="248" spans="1:2" ht="22.5" x14ac:dyDescent="0.3">
      <c r="A248" s="6" t="s">
        <v>545</v>
      </c>
      <c r="B248" s="6" t="s">
        <v>503</v>
      </c>
    </row>
    <row r="249" spans="1:2" ht="22.5" x14ac:dyDescent="0.3">
      <c r="A249" s="6" t="s">
        <v>546</v>
      </c>
      <c r="B249" s="6" t="s">
        <v>547</v>
      </c>
    </row>
    <row r="250" spans="1:2" ht="22.5" x14ac:dyDescent="0.3">
      <c r="A250" s="6" t="s">
        <v>202</v>
      </c>
      <c r="B250" s="6" t="s">
        <v>201</v>
      </c>
    </row>
    <row r="251" spans="1:2" ht="22.5" x14ac:dyDescent="0.3">
      <c r="A251" s="6" t="s">
        <v>499</v>
      </c>
      <c r="B251" s="6" t="s">
        <v>201</v>
      </c>
    </row>
    <row r="252" spans="1:2" ht="22.5" x14ac:dyDescent="0.3">
      <c r="A252" s="6" t="s">
        <v>489</v>
      </c>
      <c r="B252" s="6" t="s">
        <v>347</v>
      </c>
    </row>
    <row r="253" spans="1:2" ht="22.5" x14ac:dyDescent="0.3">
      <c r="A253" s="6" t="s">
        <v>490</v>
      </c>
      <c r="B253" s="6" t="s">
        <v>353</v>
      </c>
    </row>
    <row r="254" spans="1:2" ht="22.5" x14ac:dyDescent="0.3">
      <c r="A254" s="6" t="s">
        <v>354</v>
      </c>
      <c r="B254" s="6" t="s">
        <v>353</v>
      </c>
    </row>
    <row r="255" spans="1:2" ht="22.5" x14ac:dyDescent="0.3">
      <c r="A255" s="6" t="s">
        <v>448</v>
      </c>
      <c r="B255" s="6" t="s">
        <v>443</v>
      </c>
    </row>
    <row r="256" spans="1:2" ht="22.5" x14ac:dyDescent="0.3">
      <c r="A256" s="6" t="s">
        <v>447</v>
      </c>
      <c r="B256" s="6" t="s">
        <v>443</v>
      </c>
    </row>
    <row r="257" spans="1:2" ht="22.5" x14ac:dyDescent="0.3">
      <c r="A257" s="6" t="s">
        <v>452</v>
      </c>
      <c r="B257" s="6" t="s">
        <v>450</v>
      </c>
    </row>
    <row r="258" spans="1:2" ht="22.5" x14ac:dyDescent="0.3">
      <c r="A258" s="6" t="s">
        <v>451</v>
      </c>
      <c r="B258" s="6" t="s">
        <v>450</v>
      </c>
    </row>
    <row r="259" spans="1:2" ht="22.5" x14ac:dyDescent="0.3">
      <c r="A259" s="6" t="s">
        <v>277</v>
      </c>
      <c r="B259" s="6" t="s">
        <v>276</v>
      </c>
    </row>
    <row r="260" spans="1:2" ht="22.5" x14ac:dyDescent="0.3">
      <c r="A260" s="6" t="s">
        <v>278</v>
      </c>
      <c r="B260" s="6" t="s">
        <v>276</v>
      </c>
    </row>
    <row r="261" spans="1:2" ht="22.5" x14ac:dyDescent="0.3">
      <c r="A261" s="6" t="s">
        <v>351</v>
      </c>
      <c r="B261" s="6" t="s">
        <v>350</v>
      </c>
    </row>
    <row r="262" spans="1:2" ht="22.5" x14ac:dyDescent="0.3">
      <c r="A262" s="6" t="s">
        <v>207</v>
      </c>
      <c r="B262" s="6" t="s">
        <v>206</v>
      </c>
    </row>
    <row r="263" spans="1:2" ht="22.5" x14ac:dyDescent="0.3">
      <c r="A263" s="6" t="s">
        <v>564</v>
      </c>
      <c r="B263" s="6" t="s">
        <v>156</v>
      </c>
    </row>
    <row r="264" spans="1:2" ht="22.5" x14ac:dyDescent="0.3">
      <c r="A264" s="6" t="s">
        <v>511</v>
      </c>
      <c r="B264" s="6" t="s">
        <v>512</v>
      </c>
    </row>
    <row r="265" spans="1:2" ht="22.5" x14ac:dyDescent="0.3">
      <c r="A265" s="6" t="s">
        <v>549</v>
      </c>
      <c r="B265" s="6" t="s">
        <v>550</v>
      </c>
    </row>
    <row r="266" spans="1:2" ht="22.5" x14ac:dyDescent="0.3">
      <c r="A266" s="6" t="s">
        <v>445</v>
      </c>
      <c r="B266" s="6" t="s">
        <v>443</v>
      </c>
    </row>
    <row r="267" spans="1:2" ht="22.5" x14ac:dyDescent="0.3">
      <c r="A267" s="6" t="s">
        <v>193</v>
      </c>
      <c r="B267" s="6" t="s">
        <v>192</v>
      </c>
    </row>
    <row r="268" spans="1:2" ht="22.5" x14ac:dyDescent="0.3">
      <c r="A268" s="6" t="s">
        <v>508</v>
      </c>
      <c r="B268" s="6" t="s">
        <v>268</v>
      </c>
    </row>
    <row r="269" spans="1:2" ht="22.5" x14ac:dyDescent="0.3">
      <c r="A269" s="6" t="s">
        <v>488</v>
      </c>
      <c r="B269" s="6" t="s">
        <v>254</v>
      </c>
    </row>
    <row r="270" spans="1:2" ht="22.5" x14ac:dyDescent="0.3">
      <c r="A270" s="6" t="s">
        <v>469</v>
      </c>
      <c r="B270" s="6" t="s">
        <v>470</v>
      </c>
    </row>
    <row r="271" spans="1:2" ht="22.5" x14ac:dyDescent="0.3">
      <c r="A271" s="6" t="s">
        <v>471</v>
      </c>
      <c r="B271" s="6" t="s">
        <v>472</v>
      </c>
    </row>
    <row r="272" spans="1:2" ht="22.5" x14ac:dyDescent="0.3">
      <c r="A272" s="6" t="s">
        <v>526</v>
      </c>
      <c r="B272" s="6" t="s">
        <v>527</v>
      </c>
    </row>
    <row r="273" spans="1:2" ht="22.5" x14ac:dyDescent="0.3">
      <c r="A273" s="6" t="s">
        <v>463</v>
      </c>
      <c r="B273" s="6" t="s">
        <v>464</v>
      </c>
    </row>
    <row r="274" spans="1:2" ht="22.5" x14ac:dyDescent="0.3">
      <c r="A274" s="6" t="s">
        <v>473</v>
      </c>
      <c r="B274" s="6" t="s">
        <v>474</v>
      </c>
    </row>
    <row r="275" spans="1:2" ht="22.5" x14ac:dyDescent="0.3">
      <c r="A275" s="6" t="s">
        <v>543</v>
      </c>
      <c r="B275" s="6" t="s">
        <v>544</v>
      </c>
    </row>
    <row r="276" spans="1:2" ht="22.5" x14ac:dyDescent="0.3">
      <c r="A276" s="6" t="s">
        <v>528</v>
      </c>
      <c r="B276" s="6" t="s">
        <v>529</v>
      </c>
    </row>
    <row r="277" spans="1:2" ht="22.5" x14ac:dyDescent="0.3">
      <c r="A277" s="6" t="s">
        <v>497</v>
      </c>
      <c r="B277" s="6" t="s">
        <v>498</v>
      </c>
    </row>
    <row r="278" spans="1:2" ht="22.5" x14ac:dyDescent="0.3">
      <c r="A278" s="6" t="s">
        <v>465</v>
      </c>
      <c r="B278" s="6" t="s">
        <v>466</v>
      </c>
    </row>
    <row r="279" spans="1:2" ht="22.5" x14ac:dyDescent="0.3">
      <c r="A279" s="6" t="s">
        <v>522</v>
      </c>
      <c r="B279" s="6" t="s">
        <v>523</v>
      </c>
    </row>
    <row r="280" spans="1:2" ht="22.5" x14ac:dyDescent="0.3">
      <c r="A280" s="6" t="s">
        <v>520</v>
      </c>
      <c r="B280" s="6" t="s">
        <v>521</v>
      </c>
    </row>
    <row r="281" spans="1:2" ht="22.5" x14ac:dyDescent="0.3">
      <c r="A281" s="6" t="s">
        <v>571</v>
      </c>
      <c r="B281" s="6" t="s">
        <v>468</v>
      </c>
    </row>
    <row r="282" spans="1:2" ht="22.5" x14ac:dyDescent="0.3">
      <c r="A282" s="6" t="s">
        <v>467</v>
      </c>
      <c r="B282" s="6" t="s">
        <v>468</v>
      </c>
    </row>
    <row r="283" spans="1:2" ht="22.5" x14ac:dyDescent="0.3">
      <c r="A283" s="6" t="s">
        <v>524</v>
      </c>
      <c r="B283" s="6" t="s">
        <v>525</v>
      </c>
    </row>
    <row r="284" spans="1:2" ht="22.5" x14ac:dyDescent="0.3">
      <c r="A284" s="6" t="s">
        <v>514</v>
      </c>
      <c r="B284" s="6" t="s">
        <v>515</v>
      </c>
    </row>
  </sheetData>
  <protectedRanges>
    <protectedRange algorithmName="SHA-512" hashValue="oAofLzPsEABz+g8s4EYjUuwXH7ykbMbBHfCBkrjaG9AypkvLlHymmath48lOXQru/nByDYQVi/KXn1fge9PtNA==" saltValue="K19iw11Oiq05wm1mPIKVDQ==" spinCount="100000" sqref="B226" name="Rango4"/>
    <protectedRange algorithmName="SHA-512" hashValue="oAofLzPsEABz+g8s4EYjUuwXH7ykbMbBHfCBkrjaG9AypkvLlHymmath48lOXQru/nByDYQVi/KXn1fge9PtNA==" saltValue="K19iw11Oiq05wm1mPIKVDQ==" spinCount="100000" sqref="B227" name="Rango4_1"/>
    <protectedRange algorithmName="SHA-512" hashValue="oAofLzPsEABz+g8s4EYjUuwXH7ykbMbBHfCBkrjaG9AypkvLlHymmath48lOXQru/nByDYQVi/KXn1fge9PtNA==" saltValue="K19iw11Oiq05wm1mPIKVDQ==" spinCount="100000" sqref="B228" name="Rango4_2"/>
    <protectedRange algorithmName="SHA-512" hashValue="oAofLzPsEABz+g8s4EYjUuwXH7ykbMbBHfCBkrjaG9AypkvLlHymmath48lOXQru/nByDYQVi/KXn1fge9PtNA==" saltValue="K19iw11Oiq05wm1mPIKVDQ==" spinCount="100000" sqref="B229" name="Rango4_3"/>
    <protectedRange algorithmName="SHA-512" hashValue="oAofLzPsEABz+g8s4EYjUuwXH7ykbMbBHfCBkrjaG9AypkvLlHymmath48lOXQru/nByDYQVi/KXn1fge9PtNA==" saltValue="K19iw11Oiq05wm1mPIKVDQ==" spinCount="100000" sqref="B230" name="Rango4_4"/>
    <protectedRange algorithmName="SHA-512" hashValue="oAofLzPsEABz+g8s4EYjUuwXH7ykbMbBHfCBkrjaG9AypkvLlHymmath48lOXQru/nByDYQVi/KXn1fge9PtNA==" saltValue="K19iw11Oiq05wm1mPIKVDQ==" spinCount="100000" sqref="B231" name="Rango4_5"/>
    <protectedRange algorithmName="SHA-512" hashValue="oAofLzPsEABz+g8s4EYjUuwXH7ykbMbBHfCBkrjaG9AypkvLlHymmath48lOXQru/nByDYQVi/KXn1fge9PtNA==" saltValue="K19iw11Oiq05wm1mPIKVDQ==" spinCount="100000" sqref="B232" name="Rango4_6"/>
    <protectedRange algorithmName="SHA-512" hashValue="oAofLzPsEABz+g8s4EYjUuwXH7ykbMbBHfCBkrjaG9AypkvLlHymmath48lOXQru/nByDYQVi/KXn1fge9PtNA==" saltValue="K19iw11Oiq05wm1mPIKVDQ==" spinCount="100000" sqref="B234" name="Rango4_7"/>
    <protectedRange algorithmName="SHA-512" hashValue="oAofLzPsEABz+g8s4EYjUuwXH7ykbMbBHfCBkrjaG9AypkvLlHymmath48lOXQru/nByDYQVi/KXn1fge9PtNA==" saltValue="K19iw11Oiq05wm1mPIKVDQ==" spinCount="100000" sqref="B236" name="Rango4_8"/>
    <protectedRange algorithmName="SHA-512" hashValue="oAofLzPsEABz+g8s4EYjUuwXH7ykbMbBHfCBkrjaG9AypkvLlHymmath48lOXQru/nByDYQVi/KXn1fge9PtNA==" saltValue="K19iw11Oiq05wm1mPIKVDQ==" spinCount="100000" sqref="B239" name="Rango4_9"/>
    <protectedRange algorithmName="SHA-512" hashValue="oAofLzPsEABz+g8s4EYjUuwXH7ykbMbBHfCBkrjaG9AypkvLlHymmath48lOXQru/nByDYQVi/KXn1fge9PtNA==" saltValue="K19iw11Oiq05wm1mPIKVDQ==" spinCount="100000" sqref="B233" name="Rango4_10"/>
    <protectedRange algorithmName="SHA-512" hashValue="oAofLzPsEABz+g8s4EYjUuwXH7ykbMbBHfCBkrjaG9AypkvLlHymmath48lOXQru/nByDYQVi/KXn1fge9PtNA==" saltValue="K19iw11Oiq05wm1mPIKVDQ==" spinCount="100000" sqref="B235" name="Rango4_11"/>
    <protectedRange algorithmName="SHA-512" hashValue="oAofLzPsEABz+g8s4EYjUuwXH7ykbMbBHfCBkrjaG9AypkvLlHymmath48lOXQru/nByDYQVi/KXn1fge9PtNA==" saltValue="K19iw11Oiq05wm1mPIKVDQ==" spinCount="100000" sqref="B237" name="Rango4_12"/>
    <protectedRange algorithmName="SHA-512" hashValue="oAofLzPsEABz+g8s4EYjUuwXH7ykbMbBHfCBkrjaG9AypkvLlHymmath48lOXQru/nByDYQVi/KXn1fge9PtNA==" saltValue="K19iw11Oiq05wm1mPIKVDQ==" spinCount="100000" sqref="B238" name="Rango4_13"/>
    <protectedRange algorithmName="SHA-512" hashValue="oAofLzPsEABz+g8s4EYjUuwXH7ykbMbBHfCBkrjaG9AypkvLlHymmath48lOXQru/nByDYQVi/KXn1fge9PtNA==" saltValue="K19iw11Oiq05wm1mPIKVDQ==" spinCount="100000" sqref="B240" name="Rango4_14"/>
    <protectedRange algorithmName="SHA-512" hashValue="oAofLzPsEABz+g8s4EYjUuwXH7ykbMbBHfCBkrjaG9AypkvLlHymmath48lOXQru/nByDYQVi/KXn1fge9PtNA==" saltValue="K19iw11Oiq05wm1mPIKVDQ==" spinCount="100000" sqref="B244" name="Rango4_15"/>
    <protectedRange algorithmName="SHA-512" hashValue="oAofLzPsEABz+g8s4EYjUuwXH7ykbMbBHfCBkrjaG9AypkvLlHymmath48lOXQru/nByDYQVi/KXn1fge9PtNA==" saltValue="K19iw11Oiq05wm1mPIKVDQ==" spinCount="100000" sqref="B252" name="Rango4_16"/>
    <protectedRange algorithmName="SHA-512" hashValue="oAofLzPsEABz+g8s4EYjUuwXH7ykbMbBHfCBkrjaG9AypkvLlHymmath48lOXQru/nByDYQVi/KXn1fge9PtNA==" saltValue="K19iw11Oiq05wm1mPIKVDQ==" spinCount="100000" sqref="B253" name="Rango4_17"/>
    <protectedRange algorithmName="SHA-512" hashValue="oAofLzPsEABz+g8s4EYjUuwXH7ykbMbBHfCBkrjaG9AypkvLlHymmath48lOXQru/nByDYQVi/KXn1fge9PtNA==" saltValue="K19iw11Oiq05wm1mPIKVDQ==" spinCount="100000" sqref="B254" name="Rango4_18"/>
    <protectedRange algorithmName="SHA-512" hashValue="oAofLzPsEABz+g8s4EYjUuwXH7ykbMbBHfCBkrjaG9AypkvLlHymmath48lOXQru/nByDYQVi/KXn1fge9PtNA==" saltValue="K19iw11Oiq05wm1mPIKVDQ==" spinCount="100000" sqref="B256" name="Rango4_19"/>
    <protectedRange algorithmName="SHA-512" hashValue="oAofLzPsEABz+g8s4EYjUuwXH7ykbMbBHfCBkrjaG9AypkvLlHymmath48lOXQru/nByDYQVi/KXn1fge9PtNA==" saltValue="K19iw11Oiq05wm1mPIKVDQ==" spinCount="100000" sqref="B257" name="Rango4_20"/>
    <protectedRange algorithmName="SHA-512" hashValue="oAofLzPsEABz+g8s4EYjUuwXH7ykbMbBHfCBkrjaG9AypkvLlHymmath48lOXQru/nByDYQVi/KXn1fge9PtNA==" saltValue="K19iw11Oiq05wm1mPIKVDQ==" spinCount="100000" sqref="B258" name="Rango4_21"/>
    <protectedRange algorithmName="SHA-512" hashValue="oAofLzPsEABz+g8s4EYjUuwXH7ykbMbBHfCBkrjaG9AypkvLlHymmath48lOXQru/nByDYQVi/KXn1fge9PtNA==" saltValue="K19iw11Oiq05wm1mPIKVDQ==" spinCount="100000" sqref="B251" name="Rango4_22"/>
    <protectedRange algorithmName="SHA-512" hashValue="oAofLzPsEABz+g8s4EYjUuwXH7ykbMbBHfCBkrjaG9AypkvLlHymmath48lOXQru/nByDYQVi/KXn1fge9PtNA==" saltValue="K19iw11Oiq05wm1mPIKVDQ==" spinCount="100000" sqref="B259" name="Rango4_23"/>
    <protectedRange algorithmName="SHA-512" hashValue="oAofLzPsEABz+g8s4EYjUuwXH7ykbMbBHfCBkrjaG9AypkvLlHymmath48lOXQru/nByDYQVi/KXn1fge9PtNA==" saltValue="K19iw11Oiq05wm1mPIKVDQ==" spinCount="100000" sqref="B262" name="Rango4_24"/>
    <protectedRange algorithmName="SHA-512" hashValue="oAofLzPsEABz+g8s4EYjUuwXH7ykbMbBHfCBkrjaG9AypkvLlHymmath48lOXQru/nByDYQVi/KXn1fge9PtNA==" saltValue="K19iw11Oiq05wm1mPIKVDQ==" spinCount="100000" sqref="B263" name="Rango4_25"/>
    <protectedRange algorithmName="SHA-512" hashValue="oAofLzPsEABz+g8s4EYjUuwXH7ykbMbBHfCBkrjaG9AypkvLlHymmath48lOXQru/nByDYQVi/KXn1fge9PtNA==" saltValue="K19iw11Oiq05wm1mPIKVDQ==" spinCount="100000" sqref="B264" name="Rango4_26"/>
    <protectedRange algorithmName="SHA-512" hashValue="oAofLzPsEABz+g8s4EYjUuwXH7ykbMbBHfCBkrjaG9AypkvLlHymmath48lOXQru/nByDYQVi/KXn1fge9PtNA==" saltValue="K19iw11Oiq05wm1mPIKVDQ==" spinCount="100000" sqref="B265" name="Rango4_27"/>
    <protectedRange algorithmName="SHA-512" hashValue="oAofLzPsEABz+g8s4EYjUuwXH7ykbMbBHfCBkrjaG9AypkvLlHymmath48lOXQru/nByDYQVi/KXn1fge9PtNA==" saltValue="K19iw11Oiq05wm1mPIKVDQ==" spinCount="100000" sqref="B270" name="Rango4_28"/>
    <protectedRange algorithmName="SHA-512" hashValue="oAofLzPsEABz+g8s4EYjUuwXH7ykbMbBHfCBkrjaG9AypkvLlHymmath48lOXQru/nByDYQVi/KXn1fge9PtNA==" saltValue="K19iw11Oiq05wm1mPIKVDQ==" spinCount="100000" sqref="B271" name="Rango4_29"/>
    <protectedRange algorithmName="SHA-512" hashValue="oAofLzPsEABz+g8s4EYjUuwXH7ykbMbBHfCBkrjaG9AypkvLlHymmath48lOXQru/nByDYQVi/KXn1fge9PtNA==" saltValue="K19iw11Oiq05wm1mPIKVDQ==" spinCount="100000" sqref="B276" name="Rango4_30"/>
    <protectedRange algorithmName="SHA-512" hashValue="oAofLzPsEABz+g8s4EYjUuwXH7ykbMbBHfCBkrjaG9AypkvLlHymmath48lOXQru/nByDYQVi/KXn1fge9PtNA==" saltValue="K19iw11Oiq05wm1mPIKVDQ==" spinCount="100000" sqref="B277" name="Rango4_31"/>
  </protectedRanges>
  <autoFilter ref="A1:B284" xr:uid="{329E6D9E-686A-4183-92BF-9B0AF16F698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DD99E-A2C7-4E25-8FB0-84DFB4FA4937}">
  <dimension ref="A1:B39"/>
  <sheetViews>
    <sheetView workbookViewId="0">
      <selection activeCell="B2" sqref="B1:B1048576"/>
    </sheetView>
  </sheetViews>
  <sheetFormatPr baseColWidth="10" defaultRowHeight="15" x14ac:dyDescent="0.25"/>
  <cols>
    <col min="1" max="1" width="15.5703125" bestFit="1" customWidth="1"/>
    <col min="2" max="2" width="68.85546875" bestFit="1" customWidth="1"/>
  </cols>
  <sheetData>
    <row r="1" spans="1:2" ht="20.25" x14ac:dyDescent="0.25">
      <c r="A1" s="3" t="s">
        <v>574</v>
      </c>
      <c r="B1" s="3" t="s">
        <v>575</v>
      </c>
    </row>
    <row r="2" spans="1:2" ht="22.5" x14ac:dyDescent="0.3">
      <c r="A2" s="7" t="s">
        <v>648</v>
      </c>
      <c r="B2" s="8" t="s">
        <v>582</v>
      </c>
    </row>
    <row r="3" spans="1:2" ht="22.5" x14ac:dyDescent="0.3">
      <c r="A3" s="8" t="s">
        <v>630</v>
      </c>
      <c r="B3" s="8" t="s">
        <v>631</v>
      </c>
    </row>
    <row r="4" spans="1:2" ht="22.5" x14ac:dyDescent="0.3">
      <c r="A4" s="8" t="s">
        <v>634</v>
      </c>
      <c r="B4" s="8" t="s">
        <v>637</v>
      </c>
    </row>
    <row r="5" spans="1:2" ht="22.5" x14ac:dyDescent="0.3">
      <c r="A5" s="7" t="s">
        <v>627</v>
      </c>
      <c r="B5" s="8" t="s">
        <v>628</v>
      </c>
    </row>
    <row r="6" spans="1:2" ht="22.5" x14ac:dyDescent="0.3">
      <c r="A6" s="7" t="s">
        <v>591</v>
      </c>
      <c r="B6" s="8" t="s">
        <v>592</v>
      </c>
    </row>
    <row r="7" spans="1:2" ht="22.5" x14ac:dyDescent="0.3">
      <c r="A7" s="8" t="s">
        <v>643</v>
      </c>
      <c r="B7" s="8" t="s">
        <v>586</v>
      </c>
    </row>
    <row r="8" spans="1:2" ht="22.5" x14ac:dyDescent="0.3">
      <c r="A8" s="8" t="s">
        <v>644</v>
      </c>
      <c r="B8" s="8" t="s">
        <v>584</v>
      </c>
    </row>
    <row r="9" spans="1:2" ht="22.5" x14ac:dyDescent="0.3">
      <c r="A9" s="7" t="s">
        <v>589</v>
      </c>
      <c r="B9" s="8" t="s">
        <v>590</v>
      </c>
    </row>
    <row r="10" spans="1:2" ht="22.5" x14ac:dyDescent="0.3">
      <c r="A10" s="7" t="s">
        <v>576</v>
      </c>
      <c r="B10" s="8" t="s">
        <v>577</v>
      </c>
    </row>
    <row r="11" spans="1:2" ht="22.5" x14ac:dyDescent="0.3">
      <c r="A11" s="7" t="s">
        <v>599</v>
      </c>
      <c r="B11" s="8" t="s">
        <v>600</v>
      </c>
    </row>
    <row r="12" spans="1:2" ht="22.5" x14ac:dyDescent="0.3">
      <c r="A12" s="7" t="s">
        <v>601</v>
      </c>
      <c r="B12" s="8" t="s">
        <v>602</v>
      </c>
    </row>
    <row r="13" spans="1:2" ht="22.5" x14ac:dyDescent="0.3">
      <c r="A13" s="7" t="s">
        <v>585</v>
      </c>
      <c r="B13" s="8" t="s">
        <v>586</v>
      </c>
    </row>
    <row r="14" spans="1:2" ht="22.5" x14ac:dyDescent="0.3">
      <c r="A14" s="7" t="s">
        <v>583</v>
      </c>
      <c r="B14" s="8" t="s">
        <v>584</v>
      </c>
    </row>
    <row r="15" spans="1:2" ht="22.5" x14ac:dyDescent="0.3">
      <c r="A15" s="7" t="s">
        <v>595</v>
      </c>
      <c r="B15" s="8" t="s">
        <v>596</v>
      </c>
    </row>
    <row r="16" spans="1:2" ht="22.5" x14ac:dyDescent="0.3">
      <c r="A16" s="8" t="s">
        <v>635</v>
      </c>
      <c r="B16" s="8" t="s">
        <v>636</v>
      </c>
    </row>
    <row r="17" spans="1:2" ht="22.5" x14ac:dyDescent="0.3">
      <c r="A17" s="7" t="s">
        <v>620</v>
      </c>
      <c r="B17" s="8" t="s">
        <v>621</v>
      </c>
    </row>
    <row r="18" spans="1:2" ht="22.5" x14ac:dyDescent="0.3">
      <c r="A18" s="7" t="s">
        <v>624</v>
      </c>
      <c r="B18" s="8" t="s">
        <v>625</v>
      </c>
    </row>
    <row r="19" spans="1:2" ht="22.5" x14ac:dyDescent="0.3">
      <c r="A19" s="7" t="s">
        <v>622</v>
      </c>
      <c r="B19" s="8" t="s">
        <v>623</v>
      </c>
    </row>
    <row r="20" spans="1:2" ht="22.5" x14ac:dyDescent="0.3">
      <c r="A20" s="7" t="s">
        <v>603</v>
      </c>
      <c r="B20" s="8" t="s">
        <v>604</v>
      </c>
    </row>
    <row r="21" spans="1:2" ht="22.5" x14ac:dyDescent="0.3">
      <c r="A21" s="7" t="s">
        <v>615</v>
      </c>
      <c r="B21" s="8" t="s">
        <v>633</v>
      </c>
    </row>
    <row r="22" spans="1:2" ht="22.5" x14ac:dyDescent="0.3">
      <c r="A22" s="7" t="s">
        <v>618</v>
      </c>
      <c r="B22" s="8" t="s">
        <v>619</v>
      </c>
    </row>
    <row r="23" spans="1:2" ht="22.5" x14ac:dyDescent="0.3">
      <c r="A23" s="7" t="s">
        <v>616</v>
      </c>
      <c r="B23" s="8" t="s">
        <v>617</v>
      </c>
    </row>
    <row r="24" spans="1:2" ht="22.5" x14ac:dyDescent="0.3">
      <c r="A24" s="8" t="s">
        <v>645</v>
      </c>
      <c r="B24" s="9" t="s">
        <v>646</v>
      </c>
    </row>
    <row r="25" spans="1:2" ht="22.5" x14ac:dyDescent="0.3">
      <c r="A25" s="8" t="s">
        <v>642</v>
      </c>
      <c r="B25" s="8" t="s">
        <v>633</v>
      </c>
    </row>
    <row r="26" spans="1:2" ht="22.5" x14ac:dyDescent="0.3">
      <c r="A26" s="8" t="s">
        <v>647</v>
      </c>
      <c r="B26" s="8" t="s">
        <v>632</v>
      </c>
    </row>
    <row r="27" spans="1:2" ht="22.5" x14ac:dyDescent="0.3">
      <c r="A27" s="7" t="s">
        <v>578</v>
      </c>
      <c r="B27" s="8" t="s">
        <v>579</v>
      </c>
    </row>
    <row r="28" spans="1:2" ht="22.5" x14ac:dyDescent="0.3">
      <c r="A28" s="7" t="s">
        <v>580</v>
      </c>
      <c r="B28" s="8" t="s">
        <v>581</v>
      </c>
    </row>
    <row r="29" spans="1:2" ht="22.5" x14ac:dyDescent="0.3">
      <c r="A29" s="7" t="s">
        <v>597</v>
      </c>
      <c r="B29" s="8" t="s">
        <v>598</v>
      </c>
    </row>
    <row r="30" spans="1:2" ht="22.5" x14ac:dyDescent="0.3">
      <c r="A30" s="8" t="s">
        <v>638</v>
      </c>
      <c r="B30" s="8" t="s">
        <v>639</v>
      </c>
    </row>
    <row r="31" spans="1:2" ht="22.5" x14ac:dyDescent="0.3">
      <c r="A31" s="7" t="s">
        <v>607</v>
      </c>
      <c r="B31" s="8" t="s">
        <v>608</v>
      </c>
    </row>
    <row r="32" spans="1:2" ht="22.5" x14ac:dyDescent="0.3">
      <c r="A32" s="7" t="s">
        <v>609</v>
      </c>
      <c r="B32" s="8" t="s">
        <v>610</v>
      </c>
    </row>
    <row r="33" spans="1:2" ht="22.5" x14ac:dyDescent="0.3">
      <c r="A33" s="7" t="s">
        <v>593</v>
      </c>
      <c r="B33" s="8" t="s">
        <v>594</v>
      </c>
    </row>
    <row r="34" spans="1:2" ht="22.5" x14ac:dyDescent="0.3">
      <c r="A34" s="7" t="s">
        <v>605</v>
      </c>
      <c r="B34" s="8" t="s">
        <v>606</v>
      </c>
    </row>
    <row r="35" spans="1:2" ht="22.5" x14ac:dyDescent="0.3">
      <c r="A35" s="7" t="s">
        <v>613</v>
      </c>
      <c r="B35" s="8" t="s">
        <v>614</v>
      </c>
    </row>
    <row r="36" spans="1:2" ht="22.5" x14ac:dyDescent="0.3">
      <c r="A36" s="7" t="s">
        <v>611</v>
      </c>
      <c r="B36" s="8" t="s">
        <v>612</v>
      </c>
    </row>
    <row r="37" spans="1:2" ht="22.5" x14ac:dyDescent="0.3">
      <c r="A37" s="7" t="s">
        <v>626</v>
      </c>
      <c r="B37" s="8" t="s">
        <v>629</v>
      </c>
    </row>
    <row r="38" spans="1:2" ht="22.5" x14ac:dyDescent="0.3">
      <c r="A38" s="8" t="s">
        <v>640</v>
      </c>
      <c r="B38" s="8" t="s">
        <v>641</v>
      </c>
    </row>
    <row r="39" spans="1:2" ht="22.5" x14ac:dyDescent="0.3">
      <c r="A39" s="7" t="s">
        <v>587</v>
      </c>
      <c r="B39" s="8" t="s">
        <v>588</v>
      </c>
    </row>
  </sheetData>
  <autoFilter ref="A1:B39" xr:uid="{961DD99E-A2C7-4E25-8FB0-84DFB4FA4937}">
    <sortState xmlns:xlrd2="http://schemas.microsoft.com/office/spreadsheetml/2017/richdata2" ref="A2:B39">
      <sortCondition ref="A1:A39"/>
    </sortState>
  </autoFilter>
  <conditionalFormatting sqref="A1:A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PREENFRIO</vt:lpstr>
      <vt:lpstr>CLIENTES-CEDIS</vt:lpstr>
      <vt:lpstr>RANGOS TEMPERATURA</vt:lpstr>
      <vt:lpstr>FINCAS</vt:lpstr>
      <vt:lpstr>SKU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Escobedo</dc:creator>
  <cp:lastModifiedBy>Bernardo Escobedo</cp:lastModifiedBy>
  <dcterms:created xsi:type="dcterms:W3CDTF">2026-08-04T19:41:18Z</dcterms:created>
  <dcterms:modified xsi:type="dcterms:W3CDTF">2026-08-12T22:19:01Z</dcterms:modified>
</cp:coreProperties>
</file>